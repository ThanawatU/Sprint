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sit\Downloads\"/>
    </mc:Choice>
  </mc:AlternateContent>
  <xr:revisionPtr revIDLastSave="0" documentId="13_ncr:1_{471DAF68-7025-4416-9D27-6BB9ED56A2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 Sprint Backlog Week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Tvmo/OceDxB+2amlRKI+i6pOq6QMHdnNeFuajBmbis8="/>
    </ext>
  </extLst>
</workbook>
</file>

<file path=xl/calcChain.xml><?xml version="1.0" encoding="utf-8"?>
<calcChain xmlns="http://schemas.openxmlformats.org/spreadsheetml/2006/main">
  <c r="K50" i="3" l="1"/>
  <c r="E50" i="3"/>
  <c r="O32" i="3" s="1"/>
  <c r="S17" i="3"/>
  <c r="R17" i="3"/>
  <c r="Q17" i="3"/>
  <c r="P17" i="3"/>
  <c r="O17" i="3"/>
  <c r="S16" i="3"/>
  <c r="R16" i="3"/>
  <c r="Q16" i="3"/>
  <c r="P16" i="3"/>
  <c r="O16" i="3"/>
</calcChain>
</file>

<file path=xl/sharedStrings.xml><?xml version="1.0" encoding="utf-8"?>
<sst xmlns="http://schemas.openxmlformats.org/spreadsheetml/2006/main" count="124" uniqueCount="74">
  <si>
    <t>API Testing</t>
  </si>
  <si>
    <t>No.</t>
  </si>
  <si>
    <t>Product Backlog Items</t>
  </si>
  <si>
    <t>As an admin, I want a log that complies to the related law.</t>
  </si>
  <si>
    <t>As a passenger, I want to report the driver behavior to the admin and get the update on the filed case.</t>
  </si>
  <si>
    <t xml:space="preserve">Sprint Backlog </t>
  </si>
  <si>
    <t>Sprint No.</t>
  </si>
  <si>
    <t>Sprint Tasks</t>
  </si>
  <si>
    <t>Volunteer</t>
  </si>
  <si>
    <t>Initial Estimate of Effort</t>
  </si>
  <si>
    <t>New Estimate of Effort Remaining at The End of Day…</t>
  </si>
  <si>
    <t>Actual Time</t>
  </si>
  <si>
    <t>Volunteer List</t>
  </si>
  <si>
    <t>Name</t>
  </si>
  <si>
    <t>Student No.</t>
  </si>
  <si>
    <t>Pre-Production</t>
  </si>
  <si>
    <t>วิเคราะห์ requirement และศึกษาข้อมูลที่เกี่ยวข้อง</t>
  </si>
  <si>
    <t>ALL</t>
  </si>
  <si>
    <t>นายณัฐพัฒน์ แสนตรี</t>
  </si>
  <si>
    <t>663380012-6</t>
  </si>
  <si>
    <t>จัดทำ A-DAPT Blueprint</t>
  </si>
  <si>
    <t>นายยศนนท์ ดวงไข</t>
  </si>
  <si>
    <t>663380021-5</t>
  </si>
  <si>
    <t>จัดเตรียม main ให้สมาชิกพร้อม pull ไปทำงาน</t>
  </si>
  <si>
    <t>นายธนวัฒน์ เอื้อศิริประชา</t>
  </si>
  <si>
    <t>663380212-8</t>
  </si>
  <si>
    <t>ออกแบบและสร้างฐานข้อมูลระบบ Report</t>
  </si>
  <si>
    <t>นายปกรณ์ จำนงค์นารถ</t>
  </si>
  <si>
    <t>663380216-0</t>
  </si>
  <si>
    <t>พัฒนา Backend – Report Core API และ Authorization</t>
  </si>
  <si>
    <t>นายวิสิษฏ์ ศรีอดิศักดิ์</t>
  </si>
  <si>
    <t>663380234-8</t>
  </si>
  <si>
    <t>พัฒนา Backend – Status &amp; History Management</t>
  </si>
  <si>
    <t>นางสาวกัญญาพัชร ฉายผาด</t>
  </si>
  <si>
    <t>663380503-7</t>
  </si>
  <si>
    <t>พัฒนา Backend – File Upload &amp; Evidence</t>
  </si>
  <si>
    <t>นางสาวพิมอัปสร แพน</t>
  </si>
  <si>
    <t>663380509-5</t>
  </si>
  <si>
    <t>พัฒนา Backend – Logging &amp; Audit ให้เชื่อมต่อกับ Log Management จาก Sprint 1</t>
  </si>
  <si>
    <t>พัฒนา Frontend – Passenger Report Page</t>
  </si>
  <si>
    <t>Sprint 2</t>
  </si>
  <si>
    <t>พัฒนา Frontend – Passenger Report History &amp; Status</t>
  </si>
  <si>
    <t>DAY</t>
  </si>
  <si>
    <t>พัฒนา Frontend – Admin Report Dashboard</t>
  </si>
  <si>
    <t>Remain effort</t>
  </si>
  <si>
    <t>พัฒนา Frontend – Admin Case Detail and Management</t>
  </si>
  <si>
    <t>Ideal effort</t>
  </si>
  <si>
    <t>สร้าง Test Design แบบ Robot Framework</t>
  </si>
  <si>
    <t>จัดทำเอกสาร Test Report ของ Test Robot Framework</t>
  </si>
  <si>
    <t>จัดทำเอกสาร Test Report ของ API Testing</t>
  </si>
  <si>
    <t>แก้ไขข้อผิดพลาดที่พบจากการทดสอบ (Bug fixes)</t>
  </si>
  <si>
    <t>ทดสอบ Deploy ระบบ report</t>
  </si>
  <si>
    <t>ตรวจสอบและประเมินระบบ Audit Log เดิม</t>
  </si>
  <si>
    <t>ออกแบบโครงสร้างฐานข้อมูล Audit Log เพิ่มเติมให้รองรับการ export และตรวจสอบการขอ export</t>
  </si>
  <si>
    <t>พัฒนา Audit Log Management Service
(Audit Log Core Service, Log Search &amp; Filter API, Access Control สำหรับระบบ Log)</t>
  </si>
  <si>
    <t>พัฒนา Log Integrity &amp; Compliance Service
(Log Integrity Verification ด้วย Hash / Checksum, Read-only และ Anti-Tampering Mechanism)</t>
  </si>
  <si>
    <t>พัฒนา Log Export &amp; Tracking Service
(Log Export API รองรับ PDF / CSV / JSON, ระบบติดตามและอนุมัติการ Export Log)</t>
  </si>
  <si>
    <t>กำหนดมาตรฐาน Timestamp &amp; Metadata สำหรับ Audit Log</t>
  </si>
  <si>
    <t>พัฒนา Admin Log Dashboard เพิ่มเติม</t>
  </si>
  <si>
    <t>พัฒนา Log Search &amp; Export Management UI</t>
  </si>
  <si>
    <t>Implement Read-only Log Storage</t>
  </si>
  <si>
    <t>Team Velocity</t>
  </si>
  <si>
    <t>Implement File Integrity Validation</t>
  </si>
  <si>
    <t>Implement Timestamp &amp; Metadata Standard</t>
  </si>
  <si>
    <t>Post-Production</t>
  </si>
  <si>
    <t>จัดทำ User Acceptance Test (UAT)</t>
  </si>
  <si>
    <t>จัดทำ Policy และเพิ่มลงใน Website</t>
  </si>
  <si>
    <t>แก้ไข Adapt Blueprint</t>
  </si>
  <si>
    <t>Deploy Frontend &amp; Backend</t>
  </si>
  <si>
    <t>ทดสอบการใช้งานผ่าน URL ที่ได้รับ (ภายในและผ่าน VPN)</t>
  </si>
  <si>
    <t>จัดทำเอกสาร User Manual</t>
  </si>
  <si>
    <t>จัดทำ Change Log , AI Declearation ของ Sprint</t>
  </si>
  <si>
    <t>ตรวจสอบความครบถ้วนของ GitHub Repository และ Merge งานเข้าสู่ main branch</t>
  </si>
  <si>
    <t>จัดเตรียม สไลด์นำเสนอ พร้อมนัดแนะงาน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</si>
</sst>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20"/>
      <color theme="1"/>
      <name val="Calibri"/>
    </font>
    <font>
      <sz val="18"/>
      <color theme="1"/>
      <name val="Calibri"/>
    </font>
    <font>
      <b/>
      <sz val="18"/>
      <color theme="1"/>
      <name val="Calibri"/>
    </font>
    <font>
      <sz val="20"/>
      <color theme="1"/>
      <name val="Calibri"/>
    </font>
    <font>
      <sz val="14"/>
      <color theme="1"/>
      <name val="Calibri"/>
    </font>
    <font>
      <sz val="14"/>
      <color rgb="FF000000"/>
      <name val="Calibri"/>
    </font>
    <font>
      <b/>
      <sz val="14"/>
      <color theme="1"/>
      <name val="Calibri"/>
    </font>
    <font>
      <b/>
      <sz val="14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1" fontId="7" fillId="0" borderId="29" xfId="0" applyNumberFormat="1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/>
    <xf numFmtId="0" fontId="5" fillId="0" borderId="8" xfId="0" applyFont="1" applyBorder="1" applyAlignment="1">
      <alignment horizontal="center" vertical="center" wrapText="1"/>
    </xf>
    <xf numFmtId="0" fontId="2" fillId="0" borderId="15" xfId="0" applyFont="1" applyBorder="1"/>
    <xf numFmtId="0" fontId="6" fillId="4" borderId="8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5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5" fillId="5" borderId="8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5" fillId="0" borderId="14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9" fillId="0" borderId="11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41" xfId="0" applyFont="1" applyBorder="1"/>
    <xf numFmtId="0" fontId="2" fillId="0" borderId="14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sans-serif"/>
              </a:defRPr>
            </a:pPr>
            <a:r>
              <a:rPr lang="en-US" sz="2000" b="0" i="0">
                <a:solidFill>
                  <a:srgbClr val="757575"/>
                </a:solidFill>
                <a:latin typeface="sans-serif"/>
              </a:rPr>
              <a:t>Burn 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 Sprint Backlog Week2'!$N$16</c:f>
              <c:strCache>
                <c:ptCount val="1"/>
                <c:pt idx="0">
                  <c:v>Remain effort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 Sprint Backlog Week2'!$O$15:$S$15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 Sprint Backlog Week2'!$O$16:$S$16</c:f>
              <c:numCache>
                <c:formatCode>General</c:formatCode>
                <c:ptCount val="5"/>
                <c:pt idx="0">
                  <c:v>105</c:v>
                </c:pt>
                <c:pt idx="1">
                  <c:v>86</c:v>
                </c:pt>
                <c:pt idx="2">
                  <c:v>66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B-4928-9710-31F811626E71}"/>
            </c:ext>
          </c:extLst>
        </c:ser>
        <c:ser>
          <c:idx val="1"/>
          <c:order val="1"/>
          <c:tx>
            <c:strRef>
              <c:f>' Sprint Backlog Week2'!$N$17</c:f>
              <c:strCache>
                <c:ptCount val="1"/>
                <c:pt idx="0">
                  <c:v>Ideal effort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 Sprint Backlog Week2'!$O$15:$S$15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 Sprint Backlog Week2'!$O$17:$S$17</c:f>
              <c:numCache>
                <c:formatCode>0</c:formatCode>
                <c:ptCount val="5"/>
                <c:pt idx="0">
                  <c:v>105</c:v>
                </c:pt>
                <c:pt idx="1">
                  <c:v>78.75</c:v>
                </c:pt>
                <c:pt idx="2">
                  <c:v>52.5</c:v>
                </c:pt>
                <c:pt idx="3">
                  <c:v>26.25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7B-4928-9710-31F811626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66912"/>
        <c:axId val="858386595"/>
      </c:lineChart>
      <c:catAx>
        <c:axId val="64846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800" b="0" i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8386595"/>
        <c:crosses val="autoZero"/>
        <c:auto val="1"/>
        <c:lblAlgn val="ctr"/>
        <c:lblOffset val="100"/>
        <c:noMultiLvlLbl val="1"/>
      </c:catAx>
      <c:valAx>
        <c:axId val="85838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846691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 sz="1800" b="1" i="0">
                <a:latin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 sz="1800" b="1" i="0">
                <a:latin typeface="sans-serif"/>
              </a:defRPr>
            </a:pPr>
            <a:endParaRPr lang="en-US"/>
          </a:p>
        </c:txPr>
      </c:legendEntry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247650</xdr:colOff>
      <xdr:row>17</xdr:row>
      <xdr:rowOff>523875</xdr:rowOff>
    </xdr:from>
    <xdr:ext cx="9915525" cy="6010275"/>
    <xdr:graphicFrame macro="">
      <xdr:nvGraphicFramePr>
        <xdr:cNvPr id="308684770" name="Chart 1" title="Chart">
          <a:extLst>
            <a:ext uri="{FF2B5EF4-FFF2-40B4-BE49-F238E27FC236}">
              <a16:creationId xmlns:a16="http://schemas.microsoft.com/office/drawing/2014/main" id="{00000000-0008-0000-0200-0000E2276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198639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88"/>
  <sheetViews>
    <sheetView tabSelected="1" topLeftCell="A15" workbookViewId="0">
      <selection sqref="A1:L2"/>
    </sheetView>
  </sheetViews>
  <sheetFormatPr defaultColWidth="14.44140625" defaultRowHeight="15" customHeight="1" x14ac:dyDescent="0.3"/>
  <cols>
    <col min="1" max="1" width="16.5546875" customWidth="1"/>
    <col min="2" max="2" width="46.5546875" customWidth="1"/>
    <col min="3" max="3" width="69.44140625" customWidth="1"/>
    <col min="4" max="4" width="32.88671875" customWidth="1"/>
    <col min="5" max="5" width="22.6640625" customWidth="1"/>
    <col min="12" max="12" width="17.109375" customWidth="1"/>
    <col min="13" max="13" width="18.109375" customWidth="1"/>
    <col min="19" max="19" width="15.33203125" customWidth="1"/>
  </cols>
  <sheetData>
    <row r="1" spans="1:26" ht="14.4" x14ac:dyDescent="0.3">
      <c r="A1" s="90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x14ac:dyDescent="0.45">
      <c r="A3" s="91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T3" s="1"/>
      <c r="U3" s="1"/>
      <c r="V3" s="1"/>
      <c r="W3" s="1"/>
      <c r="X3" s="1"/>
      <c r="Y3" s="1"/>
      <c r="Z3" s="1"/>
    </row>
    <row r="4" spans="1:26" ht="45" customHeight="1" x14ac:dyDescent="0.3">
      <c r="A4" s="87" t="s">
        <v>6</v>
      </c>
      <c r="B4" s="69" t="s">
        <v>2</v>
      </c>
      <c r="C4" s="69" t="s">
        <v>7</v>
      </c>
      <c r="D4" s="92" t="s">
        <v>8</v>
      </c>
      <c r="E4" s="69" t="s">
        <v>9</v>
      </c>
      <c r="F4" s="73" t="s">
        <v>10</v>
      </c>
      <c r="G4" s="74"/>
      <c r="H4" s="74"/>
      <c r="I4" s="74"/>
      <c r="J4" s="75"/>
      <c r="K4" s="76" t="s">
        <v>11</v>
      </c>
      <c r="N4" s="77" t="s">
        <v>12</v>
      </c>
      <c r="O4" s="78"/>
      <c r="P4" s="78"/>
      <c r="Q4" s="78"/>
      <c r="R4" s="78"/>
      <c r="S4" s="78"/>
      <c r="T4" s="79"/>
      <c r="U4" s="1"/>
    </row>
    <row r="5" spans="1:26" ht="45" customHeight="1" x14ac:dyDescent="0.3">
      <c r="A5" s="89"/>
      <c r="B5" s="70"/>
      <c r="C5" s="70"/>
      <c r="D5" s="70"/>
      <c r="E5" s="70"/>
      <c r="F5" s="2">
        <v>1</v>
      </c>
      <c r="G5" s="3">
        <v>2</v>
      </c>
      <c r="H5" s="3">
        <v>3</v>
      </c>
      <c r="I5" s="3">
        <v>4</v>
      </c>
      <c r="J5" s="4">
        <v>5</v>
      </c>
      <c r="K5" s="72"/>
      <c r="L5" s="5"/>
      <c r="N5" s="6" t="s">
        <v>1</v>
      </c>
      <c r="O5" s="80" t="s">
        <v>13</v>
      </c>
      <c r="P5" s="81"/>
      <c r="Q5" s="81"/>
      <c r="R5" s="82"/>
      <c r="S5" s="80" t="s">
        <v>14</v>
      </c>
      <c r="T5" s="82"/>
    </row>
    <row r="6" spans="1:26" ht="52.5" customHeight="1" x14ac:dyDescent="0.3">
      <c r="A6" s="85">
        <v>2</v>
      </c>
      <c r="B6" s="71" t="s">
        <v>15</v>
      </c>
      <c r="C6" s="7" t="s">
        <v>16</v>
      </c>
      <c r="D6" s="8" t="s">
        <v>17</v>
      </c>
      <c r="E6" s="9">
        <v>2</v>
      </c>
      <c r="F6" s="10">
        <v>2</v>
      </c>
      <c r="G6" s="11">
        <v>0</v>
      </c>
      <c r="H6" s="11">
        <v>0</v>
      </c>
      <c r="I6" s="11">
        <v>0</v>
      </c>
      <c r="J6" s="12">
        <v>0</v>
      </c>
      <c r="K6" s="13">
        <v>2</v>
      </c>
      <c r="N6" s="14">
        <v>1</v>
      </c>
      <c r="O6" s="83" t="s">
        <v>18</v>
      </c>
      <c r="P6" s="78"/>
      <c r="Q6" s="78"/>
      <c r="R6" s="79"/>
      <c r="S6" s="83" t="s">
        <v>19</v>
      </c>
      <c r="T6" s="79"/>
    </row>
    <row r="7" spans="1:26" ht="45" customHeight="1" x14ac:dyDescent="0.3">
      <c r="A7" s="72"/>
      <c r="B7" s="72"/>
      <c r="C7" s="15" t="s">
        <v>20</v>
      </c>
      <c r="D7" s="8" t="s">
        <v>17</v>
      </c>
      <c r="E7" s="16">
        <v>2</v>
      </c>
      <c r="F7" s="17">
        <v>2</v>
      </c>
      <c r="G7" s="18">
        <v>0</v>
      </c>
      <c r="H7" s="18">
        <v>0</v>
      </c>
      <c r="I7" s="18">
        <v>0</v>
      </c>
      <c r="J7" s="19">
        <v>0</v>
      </c>
      <c r="K7" s="20">
        <v>2</v>
      </c>
      <c r="N7" s="14">
        <v>2</v>
      </c>
      <c r="O7" s="83" t="s">
        <v>21</v>
      </c>
      <c r="P7" s="78"/>
      <c r="Q7" s="78"/>
      <c r="R7" s="79"/>
      <c r="S7" s="83" t="s">
        <v>22</v>
      </c>
      <c r="T7" s="79"/>
    </row>
    <row r="8" spans="1:26" ht="45" customHeight="1" x14ac:dyDescent="0.3">
      <c r="A8" s="72"/>
      <c r="B8" s="70"/>
      <c r="C8" s="21" t="s">
        <v>23</v>
      </c>
      <c r="D8" s="22" t="s">
        <v>24</v>
      </c>
      <c r="E8" s="23">
        <v>1</v>
      </c>
      <c r="F8" s="24">
        <v>1</v>
      </c>
      <c r="G8" s="25">
        <v>0</v>
      </c>
      <c r="H8" s="25">
        <v>0</v>
      </c>
      <c r="I8" s="25">
        <v>0</v>
      </c>
      <c r="J8" s="26">
        <v>0</v>
      </c>
      <c r="K8" s="27">
        <v>1</v>
      </c>
      <c r="N8" s="14">
        <v>3</v>
      </c>
      <c r="O8" s="83" t="s">
        <v>24</v>
      </c>
      <c r="P8" s="78"/>
      <c r="Q8" s="78"/>
      <c r="R8" s="79"/>
      <c r="S8" s="83" t="s">
        <v>25</v>
      </c>
      <c r="T8" s="79"/>
    </row>
    <row r="9" spans="1:26" ht="45" customHeight="1" x14ac:dyDescent="0.3">
      <c r="A9" s="72"/>
      <c r="B9" s="84" t="s">
        <v>4</v>
      </c>
      <c r="C9" s="28" t="s">
        <v>26</v>
      </c>
      <c r="D9" s="29" t="s">
        <v>27</v>
      </c>
      <c r="E9" s="30">
        <v>2</v>
      </c>
      <c r="F9" s="31">
        <v>2</v>
      </c>
      <c r="G9" s="32">
        <v>0</v>
      </c>
      <c r="H9" s="32">
        <v>0</v>
      </c>
      <c r="I9" s="32">
        <v>0</v>
      </c>
      <c r="J9" s="32">
        <v>0</v>
      </c>
      <c r="K9" s="33">
        <v>2</v>
      </c>
      <c r="N9" s="14">
        <v>4</v>
      </c>
      <c r="O9" s="83" t="s">
        <v>27</v>
      </c>
      <c r="P9" s="78"/>
      <c r="Q9" s="78"/>
      <c r="R9" s="79"/>
      <c r="S9" s="83" t="s">
        <v>28</v>
      </c>
      <c r="T9" s="79"/>
    </row>
    <row r="10" spans="1:26" ht="45" customHeight="1" x14ac:dyDescent="0.3">
      <c r="A10" s="72"/>
      <c r="B10" s="72"/>
      <c r="C10" s="34" t="s">
        <v>29</v>
      </c>
      <c r="D10" s="35" t="s">
        <v>21</v>
      </c>
      <c r="E10" s="36">
        <v>3</v>
      </c>
      <c r="F10" s="37">
        <v>3</v>
      </c>
      <c r="G10" s="32">
        <v>0</v>
      </c>
      <c r="H10" s="32">
        <v>0</v>
      </c>
      <c r="I10" s="32">
        <v>0</v>
      </c>
      <c r="J10" s="32">
        <v>0</v>
      </c>
      <c r="K10" s="20">
        <v>2</v>
      </c>
      <c r="N10" s="14">
        <v>5</v>
      </c>
      <c r="O10" s="83" t="s">
        <v>30</v>
      </c>
      <c r="P10" s="78"/>
      <c r="Q10" s="78"/>
      <c r="R10" s="79"/>
      <c r="S10" s="83" t="s">
        <v>31</v>
      </c>
      <c r="T10" s="79"/>
    </row>
    <row r="11" spans="1:26" ht="45" customHeight="1" x14ac:dyDescent="0.3">
      <c r="A11" s="72"/>
      <c r="B11" s="72"/>
      <c r="C11" s="34" t="s">
        <v>32</v>
      </c>
      <c r="D11" s="35" t="s">
        <v>21</v>
      </c>
      <c r="E11" s="36">
        <v>3</v>
      </c>
      <c r="F11" s="37">
        <v>3</v>
      </c>
      <c r="G11" s="32">
        <v>0</v>
      </c>
      <c r="H11" s="32">
        <v>0</v>
      </c>
      <c r="I11" s="32">
        <v>0</v>
      </c>
      <c r="J11" s="32">
        <v>0</v>
      </c>
      <c r="K11" s="20">
        <v>2</v>
      </c>
      <c r="N11" s="14">
        <v>6</v>
      </c>
      <c r="O11" s="83" t="s">
        <v>33</v>
      </c>
      <c r="P11" s="78"/>
      <c r="Q11" s="78"/>
      <c r="R11" s="79"/>
      <c r="S11" s="83" t="s">
        <v>34</v>
      </c>
      <c r="T11" s="79"/>
    </row>
    <row r="12" spans="1:26" ht="45" customHeight="1" x14ac:dyDescent="0.3">
      <c r="A12" s="72"/>
      <c r="B12" s="72"/>
      <c r="C12" s="34" t="s">
        <v>35</v>
      </c>
      <c r="D12" s="35" t="s">
        <v>21</v>
      </c>
      <c r="E12" s="36">
        <v>3</v>
      </c>
      <c r="F12" s="37">
        <v>3</v>
      </c>
      <c r="G12" s="32">
        <v>0</v>
      </c>
      <c r="H12" s="32">
        <v>0</v>
      </c>
      <c r="I12" s="32">
        <v>0</v>
      </c>
      <c r="J12" s="32">
        <v>0</v>
      </c>
      <c r="K12" s="20">
        <v>2</v>
      </c>
      <c r="N12" s="14">
        <v>7</v>
      </c>
      <c r="O12" s="83" t="s">
        <v>36</v>
      </c>
      <c r="P12" s="78"/>
      <c r="Q12" s="78"/>
      <c r="R12" s="79"/>
      <c r="S12" s="83" t="s">
        <v>37</v>
      </c>
      <c r="T12" s="79"/>
    </row>
    <row r="13" spans="1:26" ht="45" customHeight="1" x14ac:dyDescent="0.3">
      <c r="A13" s="72"/>
      <c r="B13" s="72"/>
      <c r="C13" s="34" t="s">
        <v>38</v>
      </c>
      <c r="D13" s="35" t="s">
        <v>30</v>
      </c>
      <c r="E13" s="36">
        <v>3</v>
      </c>
      <c r="F13" s="37">
        <v>3</v>
      </c>
      <c r="G13" s="32">
        <v>3</v>
      </c>
      <c r="H13" s="32">
        <v>3</v>
      </c>
      <c r="I13" s="32">
        <v>0</v>
      </c>
      <c r="J13" s="32">
        <v>0</v>
      </c>
      <c r="K13" s="20">
        <v>3</v>
      </c>
      <c r="S13" s="1"/>
      <c r="T13" s="1"/>
      <c r="U13" s="1"/>
      <c r="V13" s="1"/>
      <c r="W13" s="1"/>
    </row>
    <row r="14" spans="1:26" ht="45" customHeight="1" x14ac:dyDescent="0.3">
      <c r="A14" s="72"/>
      <c r="B14" s="72"/>
      <c r="C14" s="34" t="s">
        <v>39</v>
      </c>
      <c r="D14" s="35" t="s">
        <v>36</v>
      </c>
      <c r="E14" s="36">
        <v>3</v>
      </c>
      <c r="F14" s="37">
        <v>3</v>
      </c>
      <c r="G14" s="32">
        <v>3</v>
      </c>
      <c r="H14" s="32">
        <v>3</v>
      </c>
      <c r="I14" s="32">
        <v>0</v>
      </c>
      <c r="J14" s="32">
        <v>0</v>
      </c>
      <c r="K14" s="38">
        <v>2</v>
      </c>
      <c r="N14" s="39" t="s">
        <v>40</v>
      </c>
      <c r="U14" s="1"/>
      <c r="V14" s="1"/>
      <c r="W14" s="1"/>
    </row>
    <row r="15" spans="1:26" ht="45" customHeight="1" x14ac:dyDescent="0.3">
      <c r="A15" s="72"/>
      <c r="B15" s="72"/>
      <c r="C15" s="34" t="s">
        <v>41</v>
      </c>
      <c r="D15" s="35" t="s">
        <v>36</v>
      </c>
      <c r="E15" s="36">
        <v>3</v>
      </c>
      <c r="F15" s="37">
        <v>3</v>
      </c>
      <c r="G15" s="32">
        <v>3</v>
      </c>
      <c r="H15" s="32">
        <v>3</v>
      </c>
      <c r="I15" s="32">
        <v>0</v>
      </c>
      <c r="J15" s="32">
        <v>0</v>
      </c>
      <c r="K15" s="20">
        <v>5</v>
      </c>
      <c r="N15" s="14" t="s">
        <v>42</v>
      </c>
      <c r="O15" s="14">
        <v>1</v>
      </c>
      <c r="P15" s="14">
        <v>2</v>
      </c>
      <c r="Q15" s="14">
        <v>3</v>
      </c>
      <c r="R15" s="14">
        <v>4</v>
      </c>
      <c r="S15" s="14">
        <v>5</v>
      </c>
      <c r="U15" s="1"/>
      <c r="V15" s="1"/>
      <c r="W15" s="1"/>
    </row>
    <row r="16" spans="1:26" ht="45" customHeight="1" x14ac:dyDescent="0.3">
      <c r="A16" s="72"/>
      <c r="B16" s="72"/>
      <c r="C16" s="34" t="s">
        <v>43</v>
      </c>
      <c r="D16" s="35" t="s">
        <v>30</v>
      </c>
      <c r="E16" s="36">
        <v>2</v>
      </c>
      <c r="F16" s="37">
        <v>2</v>
      </c>
      <c r="G16" s="32">
        <v>2</v>
      </c>
      <c r="H16" s="32">
        <v>2</v>
      </c>
      <c r="I16" s="32">
        <v>0</v>
      </c>
      <c r="J16" s="32">
        <v>0</v>
      </c>
      <c r="K16" s="20">
        <v>2</v>
      </c>
      <c r="N16" s="14" t="s">
        <v>44</v>
      </c>
      <c r="O16" s="40">
        <f t="shared" ref="O16:S16" si="0">SUM(F6:F49)</f>
        <v>105</v>
      </c>
      <c r="P16" s="40">
        <f t="shared" si="0"/>
        <v>86</v>
      </c>
      <c r="Q16" s="40">
        <f t="shared" si="0"/>
        <v>66</v>
      </c>
      <c r="R16" s="40">
        <f t="shared" si="0"/>
        <v>45</v>
      </c>
      <c r="S16" s="40">
        <f t="shared" si="0"/>
        <v>0</v>
      </c>
      <c r="U16" s="1"/>
      <c r="V16" s="1"/>
    </row>
    <row r="17" spans="1:23" ht="45" customHeight="1" x14ac:dyDescent="0.3">
      <c r="A17" s="72"/>
      <c r="B17" s="72"/>
      <c r="C17" s="34" t="s">
        <v>45</v>
      </c>
      <c r="D17" s="35" t="s">
        <v>33</v>
      </c>
      <c r="E17" s="36">
        <v>4</v>
      </c>
      <c r="F17" s="37">
        <v>4</v>
      </c>
      <c r="G17" s="32">
        <v>4</v>
      </c>
      <c r="H17" s="32">
        <v>4</v>
      </c>
      <c r="I17" s="32">
        <v>0</v>
      </c>
      <c r="J17" s="32">
        <v>0</v>
      </c>
      <c r="K17" s="20">
        <v>6</v>
      </c>
      <c r="N17" s="14" t="s">
        <v>46</v>
      </c>
      <c r="O17" s="41">
        <f>SUM($E$6:$E$49)*(4/4)</f>
        <v>105</v>
      </c>
      <c r="P17" s="41">
        <f>SUM($E$6:$E$49)*(3/4)</f>
        <v>78.75</v>
      </c>
      <c r="Q17" s="41">
        <f>SUM($E$6:$E$49)*(2/4)</f>
        <v>52.5</v>
      </c>
      <c r="R17" s="41">
        <f>SUM($E$6:$E$49)*(1/4)</f>
        <v>26.25</v>
      </c>
      <c r="S17" s="41">
        <f>SUM($E$6:$E$49)*(0/4)</f>
        <v>0</v>
      </c>
      <c r="U17" s="1"/>
      <c r="V17" s="1"/>
    </row>
    <row r="18" spans="1:23" ht="45" customHeight="1" x14ac:dyDescent="0.3">
      <c r="A18" s="72"/>
      <c r="B18" s="72"/>
      <c r="C18" s="34" t="s">
        <v>47</v>
      </c>
      <c r="D18" s="35" t="s">
        <v>33</v>
      </c>
      <c r="E18" s="36">
        <v>4</v>
      </c>
      <c r="F18" s="37">
        <v>4</v>
      </c>
      <c r="G18" s="32">
        <v>4</v>
      </c>
      <c r="H18" s="32">
        <v>4</v>
      </c>
      <c r="I18" s="32">
        <v>4</v>
      </c>
      <c r="J18" s="32">
        <v>0</v>
      </c>
      <c r="K18" s="20">
        <v>4</v>
      </c>
      <c r="S18" s="1"/>
      <c r="T18" s="1"/>
      <c r="U18" s="1"/>
      <c r="V18" s="1"/>
      <c r="W18" s="1"/>
    </row>
    <row r="19" spans="1:23" ht="45" customHeight="1" x14ac:dyDescent="0.3">
      <c r="A19" s="72"/>
      <c r="B19" s="72"/>
      <c r="C19" s="34" t="s">
        <v>0</v>
      </c>
      <c r="D19" s="35" t="s">
        <v>30</v>
      </c>
      <c r="E19" s="36">
        <v>2</v>
      </c>
      <c r="F19" s="37">
        <v>2</v>
      </c>
      <c r="G19" s="32">
        <v>2</v>
      </c>
      <c r="H19" s="32">
        <v>2</v>
      </c>
      <c r="I19" s="32">
        <v>2</v>
      </c>
      <c r="J19" s="32">
        <v>0</v>
      </c>
      <c r="K19" s="20">
        <v>3</v>
      </c>
      <c r="S19" s="1"/>
      <c r="T19" s="1"/>
      <c r="U19" s="1"/>
      <c r="V19" s="1"/>
    </row>
    <row r="20" spans="1:23" ht="45" customHeight="1" x14ac:dyDescent="0.3">
      <c r="A20" s="72"/>
      <c r="B20" s="72"/>
      <c r="C20" s="34" t="s">
        <v>48</v>
      </c>
      <c r="D20" s="35" t="s">
        <v>33</v>
      </c>
      <c r="E20" s="36">
        <v>2</v>
      </c>
      <c r="F20" s="37">
        <v>2</v>
      </c>
      <c r="G20" s="32">
        <v>2</v>
      </c>
      <c r="H20" s="32">
        <v>2</v>
      </c>
      <c r="I20" s="32">
        <v>2</v>
      </c>
      <c r="J20" s="32">
        <v>0</v>
      </c>
      <c r="K20" s="20"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3" ht="45" customHeight="1" x14ac:dyDescent="0.3">
      <c r="A21" s="72"/>
      <c r="B21" s="72"/>
      <c r="C21" s="34" t="s">
        <v>49</v>
      </c>
      <c r="D21" s="35" t="s">
        <v>30</v>
      </c>
      <c r="E21" s="36">
        <v>2</v>
      </c>
      <c r="F21" s="37">
        <v>2</v>
      </c>
      <c r="G21" s="32">
        <v>2</v>
      </c>
      <c r="H21" s="32">
        <v>2</v>
      </c>
      <c r="I21" s="32">
        <v>2</v>
      </c>
      <c r="J21" s="32">
        <v>0</v>
      </c>
      <c r="K21" s="20">
        <v>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3" ht="45" customHeight="1" x14ac:dyDescent="0.3">
      <c r="A22" s="72"/>
      <c r="B22" s="72"/>
      <c r="C22" s="34" t="s">
        <v>50</v>
      </c>
      <c r="D22" s="35" t="s">
        <v>17</v>
      </c>
      <c r="E22" s="36">
        <v>3</v>
      </c>
      <c r="F22" s="37">
        <v>3</v>
      </c>
      <c r="G22" s="32">
        <v>3</v>
      </c>
      <c r="H22" s="32">
        <v>3</v>
      </c>
      <c r="I22" s="32">
        <v>3</v>
      </c>
      <c r="J22" s="32">
        <v>0</v>
      </c>
      <c r="K22" s="20">
        <v>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3" ht="45" customHeight="1" x14ac:dyDescent="0.3">
      <c r="A23" s="72"/>
      <c r="B23" s="72"/>
      <c r="C23" s="42" t="s">
        <v>51</v>
      </c>
      <c r="D23" s="43" t="s">
        <v>24</v>
      </c>
      <c r="E23" s="44">
        <v>1</v>
      </c>
      <c r="F23" s="45">
        <v>1</v>
      </c>
      <c r="G23" s="46">
        <v>1</v>
      </c>
      <c r="H23" s="46">
        <v>1</v>
      </c>
      <c r="I23" s="46">
        <v>1</v>
      </c>
      <c r="J23" s="46">
        <v>0</v>
      </c>
      <c r="K23" s="27">
        <v>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3" ht="45" customHeight="1" x14ac:dyDescent="0.3">
      <c r="A24" s="72"/>
      <c r="B24" s="85" t="s">
        <v>3</v>
      </c>
      <c r="C24" s="7" t="s">
        <v>52</v>
      </c>
      <c r="D24" s="47" t="s">
        <v>27</v>
      </c>
      <c r="E24" s="9">
        <v>1</v>
      </c>
      <c r="F24" s="48">
        <v>1</v>
      </c>
      <c r="G24" s="11">
        <v>0</v>
      </c>
      <c r="H24" s="11">
        <v>0</v>
      </c>
      <c r="I24" s="11">
        <v>0</v>
      </c>
      <c r="J24" s="11">
        <v>0</v>
      </c>
      <c r="K24" s="49">
        <v>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3" ht="60" customHeight="1" x14ac:dyDescent="0.3">
      <c r="A25" s="72"/>
      <c r="B25" s="72"/>
      <c r="C25" s="15" t="s">
        <v>53</v>
      </c>
      <c r="D25" s="8" t="s">
        <v>27</v>
      </c>
      <c r="E25" s="16">
        <v>2</v>
      </c>
      <c r="F25" s="17">
        <v>2</v>
      </c>
      <c r="G25" s="50">
        <v>0</v>
      </c>
      <c r="H25" s="50">
        <v>0</v>
      </c>
      <c r="I25" s="50">
        <v>0</v>
      </c>
      <c r="J25" s="50">
        <v>0</v>
      </c>
      <c r="K25" s="20"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3" ht="60" customHeight="1" x14ac:dyDescent="0.3">
      <c r="A26" s="72"/>
      <c r="B26" s="72"/>
      <c r="C26" s="15" t="s">
        <v>54</v>
      </c>
      <c r="D26" s="8" t="s">
        <v>24</v>
      </c>
      <c r="E26" s="16">
        <v>4</v>
      </c>
      <c r="F26" s="17">
        <v>4</v>
      </c>
      <c r="G26" s="50">
        <v>4</v>
      </c>
      <c r="H26" s="50">
        <v>0</v>
      </c>
      <c r="I26" s="50">
        <v>0</v>
      </c>
      <c r="J26" s="50">
        <v>0</v>
      </c>
      <c r="K26" s="20">
        <v>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3" ht="60" customHeight="1" x14ac:dyDescent="0.3">
      <c r="A27" s="72"/>
      <c r="B27" s="72"/>
      <c r="C27" s="15" t="s">
        <v>55</v>
      </c>
      <c r="D27" s="8" t="s">
        <v>24</v>
      </c>
      <c r="E27" s="16">
        <v>4</v>
      </c>
      <c r="F27" s="17">
        <v>4</v>
      </c>
      <c r="G27" s="50">
        <v>4</v>
      </c>
      <c r="H27" s="50">
        <v>0</v>
      </c>
      <c r="I27" s="50">
        <v>0</v>
      </c>
      <c r="J27" s="50">
        <v>0</v>
      </c>
      <c r="K27" s="20">
        <v>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3" ht="52.5" customHeight="1" x14ac:dyDescent="0.3">
      <c r="A28" s="72"/>
      <c r="B28" s="72"/>
      <c r="C28" s="15" t="s">
        <v>56</v>
      </c>
      <c r="D28" s="8" t="s">
        <v>27</v>
      </c>
      <c r="E28" s="16">
        <v>4</v>
      </c>
      <c r="F28" s="17">
        <v>4</v>
      </c>
      <c r="G28" s="50">
        <v>4</v>
      </c>
      <c r="H28" s="50">
        <v>0</v>
      </c>
      <c r="I28" s="50">
        <v>0</v>
      </c>
      <c r="J28" s="50">
        <v>0</v>
      </c>
      <c r="K28" s="20">
        <v>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3" ht="45" customHeight="1" x14ac:dyDescent="0.3">
      <c r="A29" s="72"/>
      <c r="B29" s="72"/>
      <c r="C29" s="15" t="s">
        <v>57</v>
      </c>
      <c r="D29" s="8" t="s">
        <v>27</v>
      </c>
      <c r="E29" s="16">
        <v>2</v>
      </c>
      <c r="F29" s="17">
        <v>2</v>
      </c>
      <c r="G29" s="50">
        <v>2</v>
      </c>
      <c r="H29" s="50">
        <v>0</v>
      </c>
      <c r="I29" s="50">
        <v>0</v>
      </c>
      <c r="J29" s="50">
        <v>0</v>
      </c>
      <c r="K29" s="20">
        <v>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3" ht="45" customHeight="1" x14ac:dyDescent="0.3">
      <c r="A30" s="72"/>
      <c r="B30" s="72"/>
      <c r="C30" s="15" t="s">
        <v>58</v>
      </c>
      <c r="D30" s="8" t="s">
        <v>18</v>
      </c>
      <c r="E30" s="16">
        <v>3</v>
      </c>
      <c r="F30" s="17">
        <v>3</v>
      </c>
      <c r="G30" s="50">
        <v>3</v>
      </c>
      <c r="H30" s="50">
        <v>3</v>
      </c>
      <c r="I30" s="50">
        <v>0</v>
      </c>
      <c r="J30" s="50">
        <v>0</v>
      </c>
      <c r="K30" s="20">
        <v>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3" ht="45" customHeight="1" x14ac:dyDescent="0.3">
      <c r="A31" s="72"/>
      <c r="B31" s="72"/>
      <c r="C31" s="15" t="s">
        <v>59</v>
      </c>
      <c r="D31" s="8" t="s">
        <v>18</v>
      </c>
      <c r="E31" s="16">
        <v>3</v>
      </c>
      <c r="F31" s="17">
        <v>3</v>
      </c>
      <c r="G31" s="50">
        <v>3</v>
      </c>
      <c r="H31" s="50">
        <v>3</v>
      </c>
      <c r="I31" s="50">
        <v>0</v>
      </c>
      <c r="J31" s="50">
        <v>0</v>
      </c>
      <c r="K31" s="20">
        <v>3</v>
      </c>
      <c r="L31" s="1"/>
      <c r="N31" s="39" t="s">
        <v>40</v>
      </c>
      <c r="O31" s="1"/>
      <c r="P31" s="1"/>
      <c r="Q31" s="1"/>
      <c r="R31" s="1"/>
      <c r="S31" s="1"/>
      <c r="T31" s="1"/>
      <c r="U31" s="1"/>
      <c r="V31" s="1"/>
    </row>
    <row r="32" spans="1:23" ht="45" customHeight="1" x14ac:dyDescent="0.3">
      <c r="A32" s="72"/>
      <c r="B32" s="72"/>
      <c r="C32" s="15" t="s">
        <v>60</v>
      </c>
      <c r="D32" s="8" t="s">
        <v>24</v>
      </c>
      <c r="E32" s="16">
        <v>2</v>
      </c>
      <c r="F32" s="17">
        <v>2</v>
      </c>
      <c r="G32" s="50">
        <v>2</v>
      </c>
      <c r="H32" s="50">
        <v>0</v>
      </c>
      <c r="I32" s="50">
        <v>0</v>
      </c>
      <c r="J32" s="50">
        <v>0</v>
      </c>
      <c r="K32" s="20">
        <v>1</v>
      </c>
      <c r="L32" s="1"/>
      <c r="N32" s="86" t="s">
        <v>61</v>
      </c>
      <c r="O32" s="87">
        <f>SUM(E50)/1</f>
        <v>105</v>
      </c>
      <c r="P32" s="88"/>
      <c r="Q32" s="1"/>
      <c r="R32" s="1"/>
      <c r="S32" s="1"/>
      <c r="T32" s="1"/>
      <c r="U32" s="1"/>
      <c r="V32" s="1"/>
    </row>
    <row r="33" spans="1:26" ht="45" customHeight="1" x14ac:dyDescent="0.3">
      <c r="A33" s="72"/>
      <c r="B33" s="72"/>
      <c r="C33" s="15" t="s">
        <v>62</v>
      </c>
      <c r="D33" s="8" t="s">
        <v>27</v>
      </c>
      <c r="E33" s="16">
        <v>2</v>
      </c>
      <c r="F33" s="17">
        <v>2</v>
      </c>
      <c r="G33" s="50">
        <v>2</v>
      </c>
      <c r="H33" s="50">
        <v>0</v>
      </c>
      <c r="I33" s="50">
        <v>0</v>
      </c>
      <c r="J33" s="50">
        <v>0</v>
      </c>
      <c r="K33" s="20">
        <v>1</v>
      </c>
      <c r="L33" s="1"/>
      <c r="N33" s="70"/>
      <c r="O33" s="89"/>
      <c r="P33" s="82"/>
      <c r="Q33" s="1"/>
      <c r="R33" s="1"/>
      <c r="S33" s="1"/>
      <c r="T33" s="1"/>
      <c r="U33" s="1"/>
      <c r="V33" s="1"/>
    </row>
    <row r="34" spans="1:26" ht="45" customHeight="1" x14ac:dyDescent="0.3">
      <c r="A34" s="72"/>
      <c r="B34" s="72"/>
      <c r="C34" s="15" t="s">
        <v>63</v>
      </c>
      <c r="D34" s="8" t="s">
        <v>27</v>
      </c>
      <c r="E34" s="16">
        <v>2</v>
      </c>
      <c r="F34" s="17">
        <v>2</v>
      </c>
      <c r="G34" s="50">
        <v>2</v>
      </c>
      <c r="H34" s="50">
        <v>0</v>
      </c>
      <c r="I34" s="50">
        <v>0</v>
      </c>
      <c r="J34" s="50">
        <v>0</v>
      </c>
      <c r="K34" s="20">
        <v>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6" ht="45" customHeight="1" x14ac:dyDescent="0.3">
      <c r="A35" s="72"/>
      <c r="B35" s="72"/>
      <c r="C35" s="15" t="s">
        <v>47</v>
      </c>
      <c r="D35" s="8" t="s">
        <v>21</v>
      </c>
      <c r="E35" s="16">
        <v>4</v>
      </c>
      <c r="F35" s="17">
        <v>4</v>
      </c>
      <c r="G35" s="50">
        <v>4</v>
      </c>
      <c r="H35" s="50">
        <v>4</v>
      </c>
      <c r="I35" s="50">
        <v>4</v>
      </c>
      <c r="J35" s="50">
        <v>0</v>
      </c>
      <c r="K35" s="20">
        <v>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6" ht="45" customHeight="1" x14ac:dyDescent="0.3">
      <c r="A36" s="72"/>
      <c r="B36" s="72"/>
      <c r="C36" s="15" t="s">
        <v>0</v>
      </c>
      <c r="D36" s="8" t="s">
        <v>18</v>
      </c>
      <c r="E36" s="16">
        <v>2</v>
      </c>
      <c r="F36" s="17">
        <v>2</v>
      </c>
      <c r="G36" s="50">
        <v>2</v>
      </c>
      <c r="H36" s="50">
        <v>2</v>
      </c>
      <c r="I36" s="50">
        <v>2</v>
      </c>
      <c r="J36" s="50">
        <v>0</v>
      </c>
      <c r="K36" s="20">
        <v>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6" ht="45" customHeight="1" x14ac:dyDescent="0.3">
      <c r="A37" s="72"/>
      <c r="B37" s="72"/>
      <c r="C37" s="15" t="s">
        <v>48</v>
      </c>
      <c r="D37" s="51" t="s">
        <v>21</v>
      </c>
      <c r="E37" s="16">
        <v>2</v>
      </c>
      <c r="F37" s="17">
        <v>2</v>
      </c>
      <c r="G37" s="50">
        <v>2</v>
      </c>
      <c r="H37" s="50">
        <v>2</v>
      </c>
      <c r="I37" s="50">
        <v>2</v>
      </c>
      <c r="J37" s="50">
        <v>0</v>
      </c>
      <c r="K37" s="20">
        <v>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6" ht="45" customHeight="1" x14ac:dyDescent="0.3">
      <c r="A38" s="72"/>
      <c r="B38" s="72"/>
      <c r="C38" s="15" t="s">
        <v>49</v>
      </c>
      <c r="D38" s="51" t="s">
        <v>18</v>
      </c>
      <c r="E38" s="16">
        <v>2</v>
      </c>
      <c r="F38" s="17">
        <v>2</v>
      </c>
      <c r="G38" s="50">
        <v>2</v>
      </c>
      <c r="H38" s="50">
        <v>2</v>
      </c>
      <c r="I38" s="50">
        <v>2</v>
      </c>
      <c r="J38" s="50">
        <v>0</v>
      </c>
      <c r="K38" s="20">
        <v>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6" ht="45" customHeight="1" x14ac:dyDescent="0.3">
      <c r="A39" s="72"/>
      <c r="B39" s="72"/>
      <c r="C39" s="15" t="s">
        <v>50</v>
      </c>
      <c r="D39" s="8" t="s">
        <v>17</v>
      </c>
      <c r="E39" s="16">
        <v>3</v>
      </c>
      <c r="F39" s="17">
        <v>3</v>
      </c>
      <c r="G39" s="50">
        <v>3</v>
      </c>
      <c r="H39" s="50">
        <v>3</v>
      </c>
      <c r="I39" s="50">
        <v>3</v>
      </c>
      <c r="J39" s="50">
        <v>0</v>
      </c>
      <c r="K39" s="20">
        <v>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6" ht="45" customHeight="1" x14ac:dyDescent="0.3">
      <c r="A40" s="72"/>
      <c r="B40" s="70"/>
      <c r="C40" s="21" t="s">
        <v>51</v>
      </c>
      <c r="D40" s="52" t="s">
        <v>24</v>
      </c>
      <c r="E40" s="23">
        <v>1</v>
      </c>
      <c r="F40" s="24">
        <v>1</v>
      </c>
      <c r="G40" s="53">
        <v>1</v>
      </c>
      <c r="H40" s="53">
        <v>1</v>
      </c>
      <c r="I40" s="53">
        <v>1</v>
      </c>
      <c r="J40" s="53">
        <v>0</v>
      </c>
      <c r="K40" s="54">
        <v>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6" ht="45" customHeight="1" x14ac:dyDescent="0.3">
      <c r="A41" s="72"/>
      <c r="B41" s="93" t="s">
        <v>64</v>
      </c>
      <c r="C41" s="28" t="s">
        <v>65</v>
      </c>
      <c r="D41" s="35" t="s">
        <v>17</v>
      </c>
      <c r="E41" s="30">
        <v>3</v>
      </c>
      <c r="F41" s="31">
        <v>3</v>
      </c>
      <c r="G41" s="55">
        <v>3</v>
      </c>
      <c r="H41" s="55">
        <v>3</v>
      </c>
      <c r="I41" s="55">
        <v>3</v>
      </c>
      <c r="J41" s="55">
        <v>0</v>
      </c>
      <c r="K41" s="49">
        <v>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6" ht="45" customHeight="1" x14ac:dyDescent="0.3">
      <c r="A42" s="72"/>
      <c r="B42" s="72"/>
      <c r="C42" s="34" t="s">
        <v>66</v>
      </c>
      <c r="D42" s="35" t="s">
        <v>36</v>
      </c>
      <c r="E42" s="36">
        <v>2</v>
      </c>
      <c r="F42" s="37">
        <v>2</v>
      </c>
      <c r="G42" s="32">
        <v>2</v>
      </c>
      <c r="H42" s="32">
        <v>2</v>
      </c>
      <c r="I42" s="32">
        <v>2</v>
      </c>
      <c r="J42" s="32">
        <v>0</v>
      </c>
      <c r="K42" s="20">
        <v>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6" ht="45" customHeight="1" x14ac:dyDescent="0.3">
      <c r="A43" s="72"/>
      <c r="B43" s="72"/>
      <c r="C43" s="34" t="s">
        <v>67</v>
      </c>
      <c r="D43" s="35" t="s">
        <v>17</v>
      </c>
      <c r="E43" s="36">
        <v>2</v>
      </c>
      <c r="F43" s="37">
        <v>2</v>
      </c>
      <c r="G43" s="32">
        <v>2</v>
      </c>
      <c r="H43" s="32">
        <v>2</v>
      </c>
      <c r="I43" s="32">
        <v>2</v>
      </c>
      <c r="J43" s="32">
        <v>0</v>
      </c>
      <c r="K43" s="20">
        <v>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6" ht="45" customHeight="1" x14ac:dyDescent="0.3">
      <c r="A44" s="72"/>
      <c r="B44" s="72"/>
      <c r="C44" s="34" t="s">
        <v>68</v>
      </c>
      <c r="D44" s="35" t="s">
        <v>24</v>
      </c>
      <c r="E44" s="36">
        <v>1</v>
      </c>
      <c r="F44" s="37">
        <v>1</v>
      </c>
      <c r="G44" s="32">
        <v>1</v>
      </c>
      <c r="H44" s="32">
        <v>1</v>
      </c>
      <c r="I44" s="32">
        <v>1</v>
      </c>
      <c r="J44" s="32">
        <v>0</v>
      </c>
      <c r="K44" s="20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5" customHeight="1" x14ac:dyDescent="0.3">
      <c r="A45" s="72"/>
      <c r="B45" s="72"/>
      <c r="C45" s="34" t="s">
        <v>69</v>
      </c>
      <c r="D45" s="35" t="s">
        <v>17</v>
      </c>
      <c r="E45" s="36">
        <v>1</v>
      </c>
      <c r="F45" s="37">
        <v>1</v>
      </c>
      <c r="G45" s="32">
        <v>1</v>
      </c>
      <c r="H45" s="32">
        <v>1</v>
      </c>
      <c r="I45" s="32">
        <v>1</v>
      </c>
      <c r="J45" s="32">
        <v>0</v>
      </c>
      <c r="K45" s="20">
        <v>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5" customHeight="1" x14ac:dyDescent="0.3">
      <c r="A46" s="72"/>
      <c r="B46" s="72"/>
      <c r="C46" s="28" t="s">
        <v>70</v>
      </c>
      <c r="D46" s="56" t="s">
        <v>36</v>
      </c>
      <c r="E46" s="30">
        <v>2</v>
      </c>
      <c r="F46" s="31">
        <v>2</v>
      </c>
      <c r="G46" s="32">
        <v>2</v>
      </c>
      <c r="H46" s="32">
        <v>2</v>
      </c>
      <c r="I46" s="32">
        <v>2</v>
      </c>
      <c r="J46" s="32">
        <v>0</v>
      </c>
      <c r="K46" s="49">
        <v>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5" customHeight="1" x14ac:dyDescent="0.3">
      <c r="A47" s="72"/>
      <c r="B47" s="72"/>
      <c r="C47" s="34" t="s">
        <v>71</v>
      </c>
      <c r="D47" s="35" t="s">
        <v>17</v>
      </c>
      <c r="E47" s="36">
        <v>2</v>
      </c>
      <c r="F47" s="37">
        <v>2</v>
      </c>
      <c r="G47" s="32">
        <v>2</v>
      </c>
      <c r="H47" s="32">
        <v>2</v>
      </c>
      <c r="I47" s="32">
        <v>2</v>
      </c>
      <c r="J47" s="32">
        <v>0</v>
      </c>
      <c r="K47" s="20">
        <v>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5" customHeight="1" x14ac:dyDescent="0.3">
      <c r="A48" s="72"/>
      <c r="B48" s="72"/>
      <c r="C48" s="34" t="s">
        <v>72</v>
      </c>
      <c r="D48" s="35" t="s">
        <v>17</v>
      </c>
      <c r="E48" s="36">
        <v>2</v>
      </c>
      <c r="F48" s="37">
        <v>2</v>
      </c>
      <c r="G48" s="32">
        <v>2</v>
      </c>
      <c r="H48" s="32">
        <v>2</v>
      </c>
      <c r="I48" s="32">
        <v>2</v>
      </c>
      <c r="J48" s="32">
        <v>0</v>
      </c>
      <c r="K48" s="20">
        <v>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5" customHeight="1" x14ac:dyDescent="0.3">
      <c r="A49" s="72"/>
      <c r="B49" s="70"/>
      <c r="C49" s="57" t="s">
        <v>73</v>
      </c>
      <c r="D49" s="58" t="s">
        <v>17</v>
      </c>
      <c r="E49" s="59">
        <v>2</v>
      </c>
      <c r="F49" s="60">
        <v>2</v>
      </c>
      <c r="G49" s="32">
        <v>2</v>
      </c>
      <c r="H49" s="32">
        <v>2</v>
      </c>
      <c r="I49" s="32">
        <v>2</v>
      </c>
      <c r="J49" s="32">
        <v>0</v>
      </c>
      <c r="K49" s="61">
        <v>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5" customHeight="1" x14ac:dyDescent="0.3">
      <c r="A50" s="70"/>
      <c r="B50" s="62"/>
      <c r="C50" s="63"/>
      <c r="D50" s="64"/>
      <c r="E50" s="65">
        <f>SUM(E6:E49)</f>
        <v>105</v>
      </c>
      <c r="F50" s="63"/>
      <c r="G50" s="63"/>
      <c r="H50" s="63"/>
      <c r="I50" s="63"/>
      <c r="J50" s="63"/>
      <c r="K50" s="66">
        <f>SUM(K6:K49)</f>
        <v>95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5" customHeight="1" x14ac:dyDescent="0.3">
      <c r="A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5" customHeight="1" x14ac:dyDescent="0.3">
      <c r="A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5" customHeight="1" x14ac:dyDescent="0.45">
      <c r="A53" s="1"/>
      <c r="C53" s="6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"/>
      <c r="B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33">
    <mergeCell ref="A6:A50"/>
    <mergeCell ref="B41:B49"/>
    <mergeCell ref="A1:L2"/>
    <mergeCell ref="A3:L3"/>
    <mergeCell ref="A4:A5"/>
    <mergeCell ref="C4:C5"/>
    <mergeCell ref="D4:D5"/>
    <mergeCell ref="E4:E5"/>
    <mergeCell ref="O9:R9"/>
    <mergeCell ref="S9:T9"/>
    <mergeCell ref="S10:T10"/>
    <mergeCell ref="B9:B23"/>
    <mergeCell ref="B24:B40"/>
    <mergeCell ref="N32:N33"/>
    <mergeCell ref="O32:P33"/>
    <mergeCell ref="O10:R10"/>
    <mergeCell ref="O11:R11"/>
    <mergeCell ref="S11:T11"/>
    <mergeCell ref="O12:R12"/>
    <mergeCell ref="S12:T12"/>
    <mergeCell ref="B4:B5"/>
    <mergeCell ref="B6:B8"/>
    <mergeCell ref="F4:J4"/>
    <mergeCell ref="K4:K5"/>
    <mergeCell ref="N4:T4"/>
    <mergeCell ref="O5:R5"/>
    <mergeCell ref="S5:T5"/>
    <mergeCell ref="O6:R6"/>
    <mergeCell ref="S6:T6"/>
    <mergeCell ref="O7:R7"/>
    <mergeCell ref="S7:T7"/>
    <mergeCell ref="O8:R8"/>
    <mergeCell ref="S8:T8"/>
  </mergeCells>
  <printOptions horizontalCentered="1" gridLines="1"/>
  <pageMargins left="1" right="1" top="1" bottom="1" header="0" footer="0"/>
  <pageSetup fitToWidth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Sprint Backlog Week2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Wisit Sriadisak</cp:lastModifiedBy>
  <dcterms:created xsi:type="dcterms:W3CDTF">2022-02-15T09:46:33Z</dcterms:created>
  <dcterms:modified xsi:type="dcterms:W3CDTF">2026-03-03T15:38:16Z</dcterms:modified>
</cp:coreProperties>
</file>