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sit\Downloads\"/>
    </mc:Choice>
  </mc:AlternateContent>
  <xr:revisionPtr revIDLastSave="0" documentId="13_ncr:1_{C49F18B5-A3D1-4277-919C-BE2EE84B24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print Backlog Week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k4NlZNRz9pPDnZLNIB0g4eq9IsGkt/+wEy+2D5atD4g="/>
    </ext>
  </extLst>
</workbook>
</file>

<file path=xl/calcChain.xml><?xml version="1.0" encoding="utf-8"?>
<calcChain xmlns="http://schemas.openxmlformats.org/spreadsheetml/2006/main">
  <c r="K70" i="5" l="1"/>
  <c r="E70" i="5"/>
  <c r="O31" i="5"/>
  <c r="S17" i="5"/>
  <c r="R17" i="5"/>
  <c r="Q17" i="5"/>
  <c r="P17" i="5"/>
  <c r="O17" i="5"/>
  <c r="S16" i="5"/>
  <c r="R16" i="5"/>
  <c r="Q16" i="5"/>
  <c r="P16" i="5"/>
  <c r="O16" i="5"/>
</calcChain>
</file>

<file path=xl/sharedStrings.xml><?xml version="1.0" encoding="utf-8"?>
<sst xmlns="http://schemas.openxmlformats.org/spreadsheetml/2006/main" count="161" uniqueCount="108">
  <si>
    <t>No.</t>
  </si>
  <si>
    <t>Product Backlog Items</t>
  </si>
  <si>
    <t>As an admin, I want a log that complies to the related law.</t>
  </si>
  <si>
    <t>As a driver, I want to report incidents to the admin and get the update on the filed case.</t>
  </si>
  <si>
    <t>As a passenger, I want to report the driver behavior to the admin and get the update on the filed case.</t>
  </si>
  <si>
    <t>As a passenger, I want to give a review for each ride that I took to support the community.</t>
  </si>
  <si>
    <t xml:space="preserve">Sprint Backlog </t>
  </si>
  <si>
    <t>Sprint No.</t>
  </si>
  <si>
    <t>Sprint Tasks</t>
  </si>
  <si>
    <t>Volunteer</t>
  </si>
  <si>
    <t>Initial Estimate of Effort</t>
  </si>
  <si>
    <t>New Estimate of Effort Remaining at The End of Day…</t>
  </si>
  <si>
    <t>Actual Time</t>
  </si>
  <si>
    <t>Volunteer List</t>
  </si>
  <si>
    <t>Name</t>
  </si>
  <si>
    <t>Student No.</t>
  </si>
  <si>
    <t>Pre-Production</t>
  </si>
  <si>
    <t>[System / Analysis] วิเคราะห์ requirement และศึกษาข้อมูลที่เกี่ยวข้อง</t>
  </si>
  <si>
    <t>ALL</t>
  </si>
  <si>
    <t>นายณัฐพัฒน์ แสนตรี</t>
  </si>
  <si>
    <t>663380012-6</t>
  </si>
  <si>
    <t>[Doc] จัดทำ A-DAPT Blueprint</t>
  </si>
  <si>
    <t>ปกรณ์ จำนงค์นารถ</t>
  </si>
  <si>
    <t>นายยศนนท์ ดวงไข</t>
  </si>
  <si>
    <t>663380021-5</t>
  </si>
  <si>
    <t>[Doc] ทำการแก้ไข User Manual (.md) ให้ถูกต้อง</t>
  </si>
  <si>
    <t>นางสาวพิมอัปสร แพน</t>
  </si>
  <si>
    <t>นายธนวัฒน์ เอื้อศิริประชา</t>
  </si>
  <si>
    <t>663380212-8</t>
  </si>
  <si>
    <t>[System / Analysis] ออกแบบ Database Schema และ API Structure สำหรับ Report System</t>
  </si>
  <si>
    <t>ยศนนท์ ดวงไข</t>
  </si>
  <si>
    <t>นายปกรณ์ จำนงค์นารถ</t>
  </si>
  <si>
    <t>663380216-0</t>
  </si>
  <si>
    <t>[QA] จัดเตรียม main ให้สมาชิกพร้อม pull ไปทำงาน</t>
  </si>
  <si>
    <t>นายวิสิษฏ์ ศรีอดิศักดิ์</t>
  </si>
  <si>
    <t>663380234-8</t>
  </si>
  <si>
    <t>นางสาวกัญญาพัชร ฉายผาด</t>
  </si>
  <si>
    <t>663380503-7</t>
  </si>
  <si>
    <t>[Backend] ปรับโครงสร้าง Database Schema ของ Report System</t>
  </si>
  <si>
    <t>663380509-5</t>
  </si>
  <si>
    <t>[Backend] พัฒนา Backend Validation ให้ผู้ใช้ต้องอยู่ใน Trip นั้นจริงก่อนทำการ Report</t>
  </si>
  <si>
    <t>[Backend] ปรับโครงสร้างการแสดงผล Report จาก User List เป็น Trip-based Report</t>
  </si>
  <si>
    <t>[Backend] เพิ่ม API ดึงรายชื่อผู้ร่วมเดินทางใน Trip</t>
  </si>
  <si>
    <t>DAY</t>
  </si>
  <si>
    <t>[Backend] พัฒนา Backend API สำหรับดึง Report ตาม Trip</t>
  </si>
  <si>
    <t>Remain effort</t>
  </si>
  <si>
    <t>[Frontend] ปรับ UX/UI หน้า Passenger Report ให้เลือก Report จาก Trip ที่เกิดเหตุ</t>
  </si>
  <si>
    <t>Ideal effort</t>
  </si>
  <si>
    <t>[Backend] เพิ่ม Timestamp สำหรับข้อมูลที่ถูก Report เพิ่มเติม</t>
  </si>
  <si>
    <t>[Backend] พัฒนา Backend – Report Update API สำหรับเพิ่มข้อมูลใน Report เดิม</t>
  </si>
  <si>
    <t>[Admin Frontend] พัฒนา UI ให้สามารถดูรายชื่อผู้ใช้ใน Trip และ Report ที่เกี่ยวข้อง</t>
  </si>
  <si>
    <t>กัญญาพัชร ฉายผาด</t>
  </si>
  <si>
    <t>[Admin Frontend] พัฒนา Admin Case Detail Page สำหรับแต่ละ Report แสดงข้อมูล Report ของแต่ละผู้ใช้ใน Trip รวมถึง Report Update และ Timestamp</t>
  </si>
  <si>
    <t>[Backend] พัฒนา Report Status Management (Pending / Under Review / Resolved / Rejected)</t>
  </si>
  <si>
    <t>[Admin Backend] พัฒนา API สำหรับ Admin ในการเปลี่ยนสถานะ Report และ พัฒนา API สำหรับดึง Report ทั้งหมดสำหรับ Admin Dashboard</t>
  </si>
  <si>
    <t>[Admin Frontend] พัฒนา Feature สำหรับ Admin จัดการ Report แต่ละใบ</t>
  </si>
  <si>
    <t>[QA] จัดเตรียม Test Case ที่ควรมีทั้งหมด แล้วสร้างไฟล์ Test</t>
  </si>
  <si>
    <t>[QA] ทำ API Test ในส่วนที่เพิ่มเติมเข้ามา</t>
  </si>
  <si>
    <t>[System / Analysis] ตรวจสอบจุดที่ต้องเพิ่มเพื่อให้ Driver ใช้งานระบบ Incident Report ได้</t>
  </si>
  <si>
    <t>[Backend] เพิ่มระบบ Incident Report เพื่อรองรับการแจ้งเหตุฉุกเฉินหรืออุบัติเหตุในเส้นทาง</t>
  </si>
  <si>
    <t>[Frontend] พัฒนา Frontend – Driver Incident Report Page ให้ Driver  สามารถ Report เหตุการณ์ที่เกิดขึ้นต่อ Admin ได้</t>
  </si>
  <si>
    <t>ณัฐพัฒน์ แสนตรี</t>
  </si>
  <si>
    <t>[Frontend] พัฒนา Driver Incident Report History Page ให้ Driver สามารถดู Incident Report และสถานะเคสของตนเองได้</t>
  </si>
  <si>
    <t>[Admin Frontend] ปรับ Admin Dashboard ให้สามารถแสดง Incident Report ที่มาจาก Driver และสามารถจัดการได้</t>
  </si>
  <si>
    <t>[QA] เพิ่ม Test Case สำหรับ Driver Incident Report Scenario</t>
  </si>
  <si>
    <t>[QA] ทำ API Testing สำหรับ Driver Incident Report</t>
  </si>
  <si>
    <t>[System / Analysis] ออกแบบ Database Schema สำหรับ Review System</t>
  </si>
  <si>
    <t>[Backend] พัฒนา Backend API สำหรับการเปลี่ยนสถานะ Trip เป็น Completed</t>
  </si>
  <si>
    <t xml:space="preserve">ปกรณ์ จำนงค์นารถ
</t>
  </si>
  <si>
    <t>[Backend] พัฒนา Backend Validation ให้ Trip ต้องเป็น Completed ก่อนจึงสามารถ Review ได้</t>
  </si>
  <si>
    <t>[Frontend] พัฒนา UI สำหรับแสดงสถานะ Trip (Active / Completed)</t>
  </si>
  <si>
    <t>[Frontend] พัฒนา UI แสดง Trip ที่เสร็จสิ้นแล้วในหน้า Trip History</t>
  </si>
  <si>
    <t>[Backend] ปรับ Database Schema สำหรับ Review System</t>
  </si>
  <si>
    <t>[Backend] พัฒนา Backend API สำหรับสร้าง Review</t>
  </si>
  <si>
    <t>[Backend] พัฒนา Backend Logic ให้ Passenger สามารถ Review ได้เพียงครั้งเดียวต่อ Trip</t>
  </si>
  <si>
    <t>[Backend] พัฒนา Backend Validation ให้ Review ได้เฉพาะ Trip ที่ตนเองเข้าร่วม</t>
  </si>
  <si>
    <t>[Frontend] พัฒนา Passenger Review Page สำหรับให้คะแนนและเขียนความคิดเห็น</t>
  </si>
  <si>
    <t>[Frontend] เพิ่มปุ่ม Review ใน Trip History เมื่อ Trip Completed</t>
  </si>
  <si>
    <t>[Frontend] พัฒนา Passenger Review History Page</t>
  </si>
  <si>
    <t>[Backend] พัฒนา API สำหรับ Review ของ Driver</t>
  </si>
  <si>
    <t>[Frontend] แสดงคะแนนเฉลี่ยและ Review ของ Driver ในหน้า Profile</t>
  </si>
  <si>
    <t>[Admin Backend] พัฒนา API สำหรับ Admin ในการดู Review ทั้งหมด</t>
  </si>
  <si>
    <t>[Admin Frontend] พัฒนา Admin Dashboard สำหรับตรวจสอบ Review</t>
  </si>
  <si>
    <t>[QA] จัดเตรียม Test Case สำหรับ Trip Completion และ Review System</t>
  </si>
  <si>
    <t>[QA] สร้าง Test File สำหรับระบบ Review</t>
  </si>
  <si>
    <t>[QA] ทำ API Testing สำหรับ Review API</t>
  </si>
  <si>
    <t>[Backend] เพิ่มเติม Log ทั้งหมด ใน Item ที่ทำใน Sprint นี้</t>
  </si>
  <si>
    <t>[Backend] พัฒนา Logging สำหรับเหตุการณ์ Update Report</t>
  </si>
  <si>
    <t>[Backend] พัฒนา Logging สำหรับเหตุการณ์ Change Report Status โดย Admin</t>
  </si>
  <si>
    <t>[Backend] พัฒนา Logging สำหรับเหตุการณ์ Create Review</t>
  </si>
  <si>
    <t>[Backend] พัฒนา Logging สำหรับเหตุการณ์ Create Report</t>
  </si>
  <si>
    <t>[Backend] พัฒนา Logging สำหรับเหตุการณ์ Trip Completion</t>
  </si>
  <si>
    <t>[QA] สร้าง Test File สำหรับระบบ Log ที่เหลือ</t>
  </si>
  <si>
    <t>[QA] ทำ API Testing สำหรับ Log ที่เหลือ</t>
  </si>
  <si>
    <t>[QA] ทดสอบการบันทึก Log สำหรับเหตุการณ์สำคัญทั้งหมด</t>
  </si>
  <si>
    <t>[QA] ตรวจสอบความเรียบร้อยตาม Definition of Done เพื่อให้ส่งมอบงานถูกต้อง</t>
  </si>
  <si>
    <t>Post-Production</t>
  </si>
  <si>
    <t>[QA] Bugs Fix</t>
  </si>
  <si>
    <t>[QA] จัดทำ User Acceptance Test (UAT)</t>
  </si>
  <si>
    <t>[Doc] ตรวจสอบความถูกต้อง Policy ใน website</t>
  </si>
  <si>
    <t xml:space="preserve"> [Doc] แก้ไข Adapt Blueprint</t>
  </si>
  <si>
    <t>[Doc] จัดทำเอกสาร User Manual</t>
  </si>
  <si>
    <t>[Doc] จัดทำ Change Log , AI Declearation ของ Sprint</t>
  </si>
  <si>
    <t>[QA] ตรวจสอบความครบถ้วนของ GitHub Repository และ Merge งานเข้าสู่ main branch พร้อม Deploy</t>
  </si>
  <si>
    <t>[Doc] จัดเตรียม สไลด์นำเสนอ พร้อมนัดแนะงาน</t>
  </si>
  <si>
    <t>Sprint 3</t>
  </si>
  <si>
    <t>Team Velocity</t>
  </si>
  <si>
    <t xml:space="preserve">ปกรณ์ จำนงค์นารถ , นายธนวัฒน์ เอื้อศิริประชา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</si>
</sst>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b/>
      <sz val="20"/>
      <color theme="1"/>
      <name val="Calibri"/>
    </font>
    <font>
      <sz val="11"/>
      <color rgb="FFCE9178"/>
      <name val="Consolas"/>
    </font>
    <font>
      <sz val="18"/>
      <color theme="1"/>
      <name val="Calibri"/>
    </font>
    <font>
      <b/>
      <sz val="18"/>
      <color theme="1"/>
      <name val="Calibri"/>
    </font>
    <font>
      <sz val="20"/>
      <color theme="1"/>
      <name val="Calibri"/>
    </font>
    <font>
      <sz val="14"/>
      <color theme="1"/>
      <name val="Calibri"/>
    </font>
    <font>
      <sz val="14"/>
      <color rgb="FF000000"/>
      <name val="Calibri"/>
    </font>
    <font>
      <b/>
      <sz val="14"/>
      <color theme="1"/>
      <name val="Calibri"/>
    </font>
    <font>
      <sz val="14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1" fontId="8" fillId="0" borderId="27" xfId="0" applyNumberFormat="1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2" fillId="2" borderId="27" xfId="0" applyFont="1" applyFill="1" applyBorder="1" applyAlignment="1">
      <alignment wrapText="1"/>
    </xf>
    <xf numFmtId="0" fontId="10" fillId="2" borderId="27" xfId="0" applyFont="1" applyFill="1" applyBorder="1" applyAlignment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/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10" xfId="0" applyFont="1" applyBorder="1"/>
    <xf numFmtId="0" fontId="6" fillId="0" borderId="14" xfId="0" applyFont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6" fillId="0" borderId="8" xfId="0" applyFont="1" applyBorder="1" applyAlignment="1">
      <alignment horizontal="center" vertical="center"/>
    </xf>
    <xf numFmtId="0" fontId="1" fillId="0" borderId="15" xfId="0" applyFont="1" applyBorder="1"/>
    <xf numFmtId="0" fontId="6" fillId="0" borderId="8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" fillId="0" borderId="19" xfId="0" applyFont="1" applyBorder="1"/>
    <xf numFmtId="0" fontId="8" fillId="0" borderId="45" xfId="0" applyFont="1" applyBorder="1" applyAlignment="1">
      <alignment horizontal="center" vertical="center"/>
    </xf>
    <xf numFmtId="0" fontId="1" fillId="0" borderId="49" xfId="0" applyFont="1" applyBorder="1"/>
    <xf numFmtId="0" fontId="1" fillId="0" borderId="42" xfId="0" applyFont="1" applyBorder="1"/>
    <xf numFmtId="0" fontId="8" fillId="0" borderId="46" xfId="0" applyFont="1" applyBorder="1" applyAlignment="1">
      <alignment horizontal="center" vertical="center"/>
    </xf>
    <xf numFmtId="0" fontId="1" fillId="0" borderId="50" xfId="0" applyFont="1" applyBorder="1"/>
    <xf numFmtId="0" fontId="1" fillId="0" borderId="43" xfId="0" applyFont="1" applyBorder="1"/>
    <xf numFmtId="0" fontId="8" fillId="0" borderId="47" xfId="0" applyFont="1" applyBorder="1" applyAlignment="1">
      <alignment horizontal="center" vertical="center"/>
    </xf>
    <xf numFmtId="0" fontId="1" fillId="0" borderId="4" xfId="0" applyFont="1" applyBorder="1"/>
    <xf numFmtId="0" fontId="1" fillId="0" borderId="3" xfId="0" applyFont="1" applyBorder="1"/>
    <xf numFmtId="0" fontId="6" fillId="0" borderId="7" xfId="0" applyFont="1" applyBorder="1" applyAlignment="1">
      <alignment horizontal="center" vertical="center" wrapText="1"/>
    </xf>
    <xf numFmtId="0" fontId="1" fillId="0" borderId="14" xfId="0" applyFont="1" applyBorder="1"/>
    <xf numFmtId="0" fontId="7" fillId="3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1" fillId="0" borderId="51" xfId="0" applyFont="1" applyBorder="1"/>
    <xf numFmtId="0" fontId="1" fillId="0" borderId="44" xfId="0" applyFont="1" applyBorder="1"/>
    <xf numFmtId="0" fontId="11" fillId="4" borderId="8" xfId="0" applyFont="1" applyFill="1" applyBorder="1" applyAlignment="1">
      <alignment horizontal="center" vertical="center"/>
    </xf>
    <xf numFmtId="0" fontId="1" fillId="0" borderId="41" xfId="0" applyFont="1" applyBorder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eedback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sans-serif"/>
              </a:defRPr>
            </a:pPr>
            <a:r>
              <a:rPr lang="en-US" sz="2000" b="0" i="0">
                <a:solidFill>
                  <a:srgbClr val="757575"/>
                </a:solidFill>
                <a:latin typeface="sans-serif"/>
              </a:rPr>
              <a:t>Burn 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Backlog Week3'!$N$16</c:f>
              <c:strCache>
                <c:ptCount val="1"/>
                <c:pt idx="0">
                  <c:v>Remain effort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'Sprint Backlog Week3'!$O$15:$S$15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Backlog Week3'!$O$16:$S$16</c:f>
              <c:numCache>
                <c:formatCode>General</c:formatCode>
                <c:ptCount val="5"/>
                <c:pt idx="0">
                  <c:v>100</c:v>
                </c:pt>
                <c:pt idx="1">
                  <c:v>87</c:v>
                </c:pt>
                <c:pt idx="2">
                  <c:v>70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4-44C1-830C-AAA5368D60EA}"/>
            </c:ext>
          </c:extLst>
        </c:ser>
        <c:ser>
          <c:idx val="1"/>
          <c:order val="1"/>
          <c:tx>
            <c:strRef>
              <c:f>'Sprint Backlog Week3'!$N$17</c:f>
              <c:strCache>
                <c:ptCount val="1"/>
                <c:pt idx="0">
                  <c:v>Ideal effort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'Sprint Backlog Week3'!$O$15:$S$15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'Sprint Backlog Week3'!$O$17:$S$17</c:f>
              <c:numCache>
                <c:formatCode>0</c:formatCode>
                <c:ptCount val="5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14-44C1-830C-AAA5368D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9705"/>
        <c:axId val="1065641302"/>
      </c:lineChart>
      <c:catAx>
        <c:axId val="10229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8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800" b="0" i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5641302"/>
        <c:crosses val="autoZero"/>
        <c:auto val="1"/>
        <c:lblAlgn val="ctr"/>
        <c:lblOffset val="100"/>
        <c:noMultiLvlLbl val="1"/>
      </c:catAx>
      <c:valAx>
        <c:axId val="1065641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29705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 sz="1800" b="1" i="0">
                <a:latin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 lvl="0">
              <a:defRPr sz="1800" b="1" i="0">
                <a:latin typeface="sans-serif"/>
              </a:defRPr>
            </a:pPr>
            <a:endParaRPr lang="en-US"/>
          </a:p>
        </c:txPr>
      </c:legendEntry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247650</xdr:colOff>
      <xdr:row>17</xdr:row>
      <xdr:rowOff>523875</xdr:rowOff>
    </xdr:from>
    <xdr:ext cx="9915525" cy="6010275"/>
    <xdr:graphicFrame macro="">
      <xdr:nvGraphicFramePr>
        <xdr:cNvPr id="1781932590" name="Chart 2" title="Chart">
          <a:extLst>
            <a:ext uri="{FF2B5EF4-FFF2-40B4-BE49-F238E27FC236}">
              <a16:creationId xmlns:a16="http://schemas.microsoft.com/office/drawing/2014/main" id="{00000000-0008-0000-0400-00002E223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198639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981"/>
  <sheetViews>
    <sheetView tabSelected="1" topLeftCell="A7" zoomScale="32" workbookViewId="0">
      <selection activeCell="Y11" sqref="Y11"/>
    </sheetView>
  </sheetViews>
  <sheetFormatPr defaultColWidth="14.44140625" defaultRowHeight="15" customHeight="1" x14ac:dyDescent="0.3"/>
  <cols>
    <col min="1" max="1" width="16.5546875" customWidth="1"/>
    <col min="2" max="2" width="46.5546875" customWidth="1"/>
    <col min="3" max="3" width="69.44140625" customWidth="1"/>
    <col min="4" max="4" width="32.88671875" customWidth="1"/>
    <col min="5" max="5" width="22.6640625" customWidth="1"/>
    <col min="12" max="12" width="17.109375" customWidth="1"/>
    <col min="13" max="13" width="18.109375" customWidth="1"/>
    <col min="19" max="19" width="15.33203125" customWidth="1"/>
  </cols>
  <sheetData>
    <row r="1" spans="1:26" ht="14.4" x14ac:dyDescent="0.3">
      <c r="A1" s="70" t="s">
        <v>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x14ac:dyDescent="0.4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T3" s="1"/>
      <c r="U3" s="1"/>
      <c r="V3" s="1"/>
      <c r="W3" s="1"/>
      <c r="X3" s="1"/>
      <c r="Y3" s="1"/>
      <c r="Z3" s="1"/>
    </row>
    <row r="4" spans="1:26" ht="45" customHeight="1" x14ac:dyDescent="0.3">
      <c r="A4" s="95" t="s">
        <v>7</v>
      </c>
      <c r="B4" s="83" t="s">
        <v>1</v>
      </c>
      <c r="C4" s="83" t="s">
        <v>8</v>
      </c>
      <c r="D4" s="81" t="s">
        <v>9</v>
      </c>
      <c r="E4" s="83" t="s">
        <v>10</v>
      </c>
      <c r="F4" s="75" t="s">
        <v>11</v>
      </c>
      <c r="G4" s="76"/>
      <c r="H4" s="76"/>
      <c r="I4" s="76"/>
      <c r="J4" s="77"/>
      <c r="K4" s="84" t="s">
        <v>12</v>
      </c>
      <c r="N4" s="72" t="s">
        <v>13</v>
      </c>
      <c r="O4" s="73"/>
      <c r="P4" s="73"/>
      <c r="Q4" s="73"/>
      <c r="R4" s="73"/>
      <c r="S4" s="73"/>
      <c r="T4" s="74"/>
      <c r="U4" s="1"/>
    </row>
    <row r="5" spans="1:26" ht="45" customHeight="1" x14ac:dyDescent="0.3">
      <c r="A5" s="96"/>
      <c r="B5" s="82"/>
      <c r="C5" s="82"/>
      <c r="D5" s="82"/>
      <c r="E5" s="82"/>
      <c r="F5" s="4">
        <v>1</v>
      </c>
      <c r="G5" s="5">
        <v>2</v>
      </c>
      <c r="H5" s="5">
        <v>3</v>
      </c>
      <c r="I5" s="5">
        <v>4</v>
      </c>
      <c r="J5" s="6">
        <v>5</v>
      </c>
      <c r="K5" s="85"/>
      <c r="L5" s="7"/>
      <c r="N5" s="8" t="s">
        <v>0</v>
      </c>
      <c r="O5" s="78" t="s">
        <v>14</v>
      </c>
      <c r="P5" s="79"/>
      <c r="Q5" s="79"/>
      <c r="R5" s="80"/>
      <c r="S5" s="78" t="s">
        <v>15</v>
      </c>
      <c r="T5" s="80"/>
    </row>
    <row r="6" spans="1:26" ht="52.5" customHeight="1" x14ac:dyDescent="0.3">
      <c r="A6" s="98">
        <v>3</v>
      </c>
      <c r="B6" s="97" t="s">
        <v>16</v>
      </c>
      <c r="C6" s="28" t="s">
        <v>17</v>
      </c>
      <c r="D6" s="57" t="s">
        <v>18</v>
      </c>
      <c r="E6" s="10">
        <v>2</v>
      </c>
      <c r="F6" s="11">
        <v>2</v>
      </c>
      <c r="G6" s="12">
        <v>0</v>
      </c>
      <c r="H6" s="12">
        <v>0</v>
      </c>
      <c r="I6" s="12">
        <v>0</v>
      </c>
      <c r="J6" s="13">
        <v>0</v>
      </c>
      <c r="K6" s="14">
        <v>1</v>
      </c>
      <c r="N6" s="15">
        <v>1</v>
      </c>
      <c r="O6" s="100" t="s">
        <v>19</v>
      </c>
      <c r="P6" s="73"/>
      <c r="Q6" s="73"/>
      <c r="R6" s="74"/>
      <c r="S6" s="100" t="s">
        <v>20</v>
      </c>
      <c r="T6" s="74"/>
    </row>
    <row r="7" spans="1:26" ht="52.5" customHeight="1" x14ac:dyDescent="0.3">
      <c r="A7" s="85"/>
      <c r="B7" s="85"/>
      <c r="C7" s="21" t="s">
        <v>21</v>
      </c>
      <c r="D7" s="22" t="s">
        <v>22</v>
      </c>
      <c r="E7" s="16">
        <v>2</v>
      </c>
      <c r="F7" s="17">
        <v>2</v>
      </c>
      <c r="G7" s="18">
        <v>2</v>
      </c>
      <c r="H7" s="18">
        <v>2</v>
      </c>
      <c r="I7" s="18">
        <v>0</v>
      </c>
      <c r="J7" s="19">
        <v>0</v>
      </c>
      <c r="K7" s="20">
        <v>2</v>
      </c>
      <c r="N7" s="15">
        <v>2</v>
      </c>
      <c r="O7" s="100" t="s">
        <v>23</v>
      </c>
      <c r="P7" s="73"/>
      <c r="Q7" s="73"/>
      <c r="R7" s="74"/>
      <c r="S7" s="100" t="s">
        <v>24</v>
      </c>
      <c r="T7" s="74"/>
    </row>
    <row r="8" spans="1:26" ht="52.5" customHeight="1" x14ac:dyDescent="0.3">
      <c r="A8" s="85"/>
      <c r="B8" s="85"/>
      <c r="C8" s="21" t="s">
        <v>25</v>
      </c>
      <c r="D8" s="22" t="s">
        <v>26</v>
      </c>
      <c r="E8" s="16">
        <v>1</v>
      </c>
      <c r="F8" s="17">
        <v>1</v>
      </c>
      <c r="G8" s="18">
        <v>0</v>
      </c>
      <c r="H8" s="18">
        <v>0</v>
      </c>
      <c r="I8" s="18">
        <v>0</v>
      </c>
      <c r="J8" s="19">
        <v>0</v>
      </c>
      <c r="K8" s="20">
        <v>1</v>
      </c>
      <c r="N8" s="15">
        <v>3</v>
      </c>
      <c r="O8" s="100" t="s">
        <v>27</v>
      </c>
      <c r="P8" s="73"/>
      <c r="Q8" s="73"/>
      <c r="R8" s="74"/>
      <c r="S8" s="100" t="s">
        <v>28</v>
      </c>
      <c r="T8" s="74"/>
    </row>
    <row r="9" spans="1:26" ht="52.5" customHeight="1" x14ac:dyDescent="0.3">
      <c r="A9" s="85"/>
      <c r="B9" s="85"/>
      <c r="C9" s="21" t="s">
        <v>29</v>
      </c>
      <c r="D9" s="22" t="s">
        <v>30</v>
      </c>
      <c r="E9" s="16">
        <v>1</v>
      </c>
      <c r="F9" s="17">
        <v>1</v>
      </c>
      <c r="G9" s="18">
        <v>0</v>
      </c>
      <c r="H9" s="18">
        <v>0</v>
      </c>
      <c r="I9" s="18">
        <v>0</v>
      </c>
      <c r="J9" s="18">
        <v>0</v>
      </c>
      <c r="K9" s="20">
        <v>1</v>
      </c>
      <c r="N9" s="15">
        <v>4</v>
      </c>
      <c r="O9" s="100" t="s">
        <v>31</v>
      </c>
      <c r="P9" s="73"/>
      <c r="Q9" s="73"/>
      <c r="R9" s="74"/>
      <c r="S9" s="100" t="s">
        <v>32</v>
      </c>
      <c r="T9" s="74"/>
    </row>
    <row r="10" spans="1:26" ht="52.5" customHeight="1" x14ac:dyDescent="0.3">
      <c r="A10" s="85"/>
      <c r="B10" s="82"/>
      <c r="C10" s="41" t="s">
        <v>33</v>
      </c>
      <c r="D10" s="42" t="s">
        <v>18</v>
      </c>
      <c r="E10" s="23">
        <v>1</v>
      </c>
      <c r="F10" s="24">
        <v>1</v>
      </c>
      <c r="G10" s="25">
        <v>0</v>
      </c>
      <c r="H10" s="25">
        <v>0</v>
      </c>
      <c r="I10" s="25">
        <v>0</v>
      </c>
      <c r="J10" s="26">
        <v>0</v>
      </c>
      <c r="K10" s="27">
        <v>1</v>
      </c>
      <c r="N10" s="15">
        <v>5</v>
      </c>
      <c r="O10" s="100" t="s">
        <v>34</v>
      </c>
      <c r="P10" s="73"/>
      <c r="Q10" s="73"/>
      <c r="R10" s="74"/>
      <c r="S10" s="100" t="s">
        <v>35</v>
      </c>
      <c r="T10" s="74"/>
    </row>
    <row r="11" spans="1:26" ht="52.5" customHeight="1" x14ac:dyDescent="0.3">
      <c r="A11" s="85"/>
      <c r="B11" s="98" t="s">
        <v>4</v>
      </c>
      <c r="C11" s="58" t="s">
        <v>38</v>
      </c>
      <c r="D11" s="43" t="s">
        <v>30</v>
      </c>
      <c r="E11" s="44">
        <v>1</v>
      </c>
      <c r="F11" s="45">
        <v>1</v>
      </c>
      <c r="G11" s="45">
        <v>1</v>
      </c>
      <c r="H11" s="46">
        <v>0</v>
      </c>
      <c r="I11" s="46">
        <v>0</v>
      </c>
      <c r="J11" s="46">
        <v>0</v>
      </c>
      <c r="K11" s="48">
        <v>1</v>
      </c>
      <c r="N11" s="15">
        <v>6</v>
      </c>
      <c r="O11" s="100" t="s">
        <v>36</v>
      </c>
      <c r="P11" s="73"/>
      <c r="Q11" s="73"/>
      <c r="R11" s="74"/>
      <c r="S11" s="100" t="s">
        <v>37</v>
      </c>
      <c r="T11" s="74"/>
    </row>
    <row r="12" spans="1:26" ht="52.5" customHeight="1" x14ac:dyDescent="0.3">
      <c r="A12" s="85"/>
      <c r="B12" s="85"/>
      <c r="C12" s="21" t="s">
        <v>40</v>
      </c>
      <c r="D12" s="22" t="s">
        <v>30</v>
      </c>
      <c r="E12" s="16">
        <v>1</v>
      </c>
      <c r="F12" s="17">
        <v>1</v>
      </c>
      <c r="G12" s="17">
        <v>1</v>
      </c>
      <c r="H12" s="18">
        <v>0</v>
      </c>
      <c r="I12" s="18">
        <v>0</v>
      </c>
      <c r="J12" s="18">
        <v>0</v>
      </c>
      <c r="K12" s="20">
        <v>1</v>
      </c>
      <c r="N12" s="15">
        <v>7</v>
      </c>
      <c r="O12" s="100" t="s">
        <v>26</v>
      </c>
      <c r="P12" s="73"/>
      <c r="Q12" s="73"/>
      <c r="R12" s="74"/>
      <c r="S12" s="100" t="s">
        <v>39</v>
      </c>
      <c r="T12" s="74"/>
    </row>
    <row r="13" spans="1:26" ht="52.5" customHeight="1" x14ac:dyDescent="0.3">
      <c r="A13" s="85"/>
      <c r="B13" s="85"/>
      <c r="C13" s="21" t="s">
        <v>41</v>
      </c>
      <c r="D13" s="22" t="s">
        <v>30</v>
      </c>
      <c r="E13" s="16">
        <v>1</v>
      </c>
      <c r="F13" s="17">
        <v>1</v>
      </c>
      <c r="G13" s="17">
        <v>1</v>
      </c>
      <c r="H13" s="18">
        <v>0</v>
      </c>
      <c r="I13" s="18">
        <v>0</v>
      </c>
      <c r="J13" s="18">
        <v>0</v>
      </c>
      <c r="K13" s="20">
        <v>1</v>
      </c>
      <c r="S13" s="1"/>
      <c r="T13" s="1"/>
      <c r="U13" s="1"/>
      <c r="V13" s="1"/>
      <c r="W13" s="1"/>
    </row>
    <row r="14" spans="1:26" ht="52.5" customHeight="1" x14ac:dyDescent="0.3">
      <c r="A14" s="85"/>
      <c r="B14" s="85"/>
      <c r="C14" s="21" t="s">
        <v>42</v>
      </c>
      <c r="D14" s="22" t="s">
        <v>30</v>
      </c>
      <c r="E14" s="16">
        <v>1</v>
      </c>
      <c r="F14" s="17">
        <v>1</v>
      </c>
      <c r="G14" s="17">
        <v>1</v>
      </c>
      <c r="H14" s="18">
        <v>0</v>
      </c>
      <c r="I14" s="18">
        <v>0</v>
      </c>
      <c r="J14" s="18">
        <v>0</v>
      </c>
      <c r="K14" s="20">
        <v>1</v>
      </c>
      <c r="N14" s="29" t="s">
        <v>105</v>
      </c>
      <c r="U14" s="1"/>
      <c r="V14" s="1"/>
      <c r="W14" s="1"/>
    </row>
    <row r="15" spans="1:26" ht="52.5" customHeight="1" x14ac:dyDescent="0.3">
      <c r="A15" s="85"/>
      <c r="B15" s="85"/>
      <c r="C15" s="21" t="s">
        <v>44</v>
      </c>
      <c r="D15" s="22" t="s">
        <v>30</v>
      </c>
      <c r="E15" s="16">
        <v>1</v>
      </c>
      <c r="F15" s="17">
        <v>1</v>
      </c>
      <c r="G15" s="18">
        <v>1</v>
      </c>
      <c r="H15" s="17">
        <v>1</v>
      </c>
      <c r="I15" s="18">
        <v>0</v>
      </c>
      <c r="J15" s="18">
        <v>0</v>
      </c>
      <c r="K15" s="20">
        <v>1</v>
      </c>
      <c r="N15" s="15" t="s">
        <v>43</v>
      </c>
      <c r="O15" s="15">
        <v>1</v>
      </c>
      <c r="P15" s="15">
        <v>2</v>
      </c>
      <c r="Q15" s="15">
        <v>3</v>
      </c>
      <c r="R15" s="15">
        <v>4</v>
      </c>
      <c r="S15" s="15">
        <v>5</v>
      </c>
      <c r="U15" s="1"/>
      <c r="V15" s="1"/>
      <c r="W15" s="1"/>
    </row>
    <row r="16" spans="1:26" ht="52.5" customHeight="1" x14ac:dyDescent="0.3">
      <c r="A16" s="85"/>
      <c r="B16" s="85"/>
      <c r="C16" s="21" t="s">
        <v>46</v>
      </c>
      <c r="D16" s="22" t="s">
        <v>34</v>
      </c>
      <c r="E16" s="16">
        <v>2</v>
      </c>
      <c r="F16" s="17">
        <v>2</v>
      </c>
      <c r="G16" s="18">
        <v>2</v>
      </c>
      <c r="H16" s="18">
        <v>2</v>
      </c>
      <c r="I16" s="18">
        <v>0</v>
      </c>
      <c r="J16" s="19">
        <v>0</v>
      </c>
      <c r="K16" s="20">
        <v>2</v>
      </c>
      <c r="N16" s="15" t="s">
        <v>45</v>
      </c>
      <c r="O16" s="30">
        <f t="shared" ref="O16:S16" si="0">SUM(F6:F70)</f>
        <v>100</v>
      </c>
      <c r="P16" s="30">
        <f t="shared" si="0"/>
        <v>87</v>
      </c>
      <c r="Q16" s="30">
        <f t="shared" si="0"/>
        <v>70</v>
      </c>
      <c r="R16" s="30">
        <f t="shared" si="0"/>
        <v>45</v>
      </c>
      <c r="S16" s="30">
        <f t="shared" si="0"/>
        <v>0</v>
      </c>
      <c r="U16" s="1"/>
      <c r="V16" s="1"/>
    </row>
    <row r="17" spans="1:23" ht="52.5" customHeight="1" x14ac:dyDescent="0.3">
      <c r="A17" s="85"/>
      <c r="B17" s="85"/>
      <c r="C17" s="21" t="s">
        <v>48</v>
      </c>
      <c r="D17" s="22" t="s">
        <v>30</v>
      </c>
      <c r="E17" s="16">
        <v>1</v>
      </c>
      <c r="F17" s="17">
        <v>1</v>
      </c>
      <c r="G17" s="17">
        <v>1</v>
      </c>
      <c r="H17" s="18">
        <v>0</v>
      </c>
      <c r="I17" s="18">
        <v>0</v>
      </c>
      <c r="J17" s="18">
        <v>0</v>
      </c>
      <c r="K17" s="20">
        <v>1</v>
      </c>
      <c r="N17" s="15" t="s">
        <v>47</v>
      </c>
      <c r="O17" s="31">
        <f>SUM($E$6:$E$69)*(4/4)</f>
        <v>100</v>
      </c>
      <c r="P17" s="31">
        <f>SUM($E$6:$E$69)*(3/4)</f>
        <v>75</v>
      </c>
      <c r="Q17" s="31">
        <f>SUM($E$6:$E$69)*(2/4)</f>
        <v>50</v>
      </c>
      <c r="R17" s="31">
        <f>SUM($E$6:$E$69)*(1/4)</f>
        <v>25</v>
      </c>
      <c r="S17" s="31">
        <f>SUM($E$6:$E$69)*(0/4)</f>
        <v>0</v>
      </c>
      <c r="U17" s="1"/>
      <c r="V17" s="1"/>
    </row>
    <row r="18" spans="1:23" ht="52.5" customHeight="1" x14ac:dyDescent="0.3">
      <c r="A18" s="85"/>
      <c r="B18" s="85"/>
      <c r="C18" s="21" t="s">
        <v>49</v>
      </c>
      <c r="D18" s="22" t="s">
        <v>30</v>
      </c>
      <c r="E18" s="16">
        <v>1</v>
      </c>
      <c r="F18" s="17">
        <v>1</v>
      </c>
      <c r="G18" s="17">
        <v>1</v>
      </c>
      <c r="H18" s="18">
        <v>0</v>
      </c>
      <c r="I18" s="18">
        <v>0</v>
      </c>
      <c r="J18" s="18">
        <v>0</v>
      </c>
      <c r="K18" s="20">
        <v>1</v>
      </c>
      <c r="S18" s="1"/>
      <c r="T18" s="1"/>
      <c r="U18" s="1"/>
      <c r="V18" s="1"/>
      <c r="W18" s="1"/>
    </row>
    <row r="19" spans="1:23" ht="52.5" customHeight="1" x14ac:dyDescent="0.3">
      <c r="A19" s="85"/>
      <c r="B19" s="85"/>
      <c r="C19" s="21" t="s">
        <v>50</v>
      </c>
      <c r="D19" s="22" t="s">
        <v>51</v>
      </c>
      <c r="E19" s="16">
        <v>2</v>
      </c>
      <c r="F19" s="17">
        <v>2</v>
      </c>
      <c r="G19" s="18">
        <v>2</v>
      </c>
      <c r="H19" s="18">
        <v>2</v>
      </c>
      <c r="I19" s="18">
        <v>0</v>
      </c>
      <c r="J19" s="19">
        <v>0</v>
      </c>
      <c r="K19" s="20">
        <v>1</v>
      </c>
      <c r="S19" s="1"/>
      <c r="T19" s="1"/>
      <c r="U19" s="1"/>
      <c r="V19" s="1"/>
    </row>
    <row r="20" spans="1:23" ht="52.5" customHeight="1" x14ac:dyDescent="0.3">
      <c r="A20" s="85"/>
      <c r="B20" s="85"/>
      <c r="C20" s="21" t="s">
        <v>52</v>
      </c>
      <c r="D20" s="22" t="s">
        <v>51</v>
      </c>
      <c r="E20" s="16">
        <v>2</v>
      </c>
      <c r="F20" s="17">
        <v>2</v>
      </c>
      <c r="G20" s="18">
        <v>2</v>
      </c>
      <c r="H20" s="18">
        <v>2</v>
      </c>
      <c r="I20" s="18">
        <v>0</v>
      </c>
      <c r="J20" s="19">
        <v>0</v>
      </c>
      <c r="K20" s="20"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3" ht="52.5" customHeight="1" x14ac:dyDescent="0.3">
      <c r="A21" s="85"/>
      <c r="B21" s="85"/>
      <c r="C21" s="21" t="s">
        <v>53</v>
      </c>
      <c r="D21" s="22" t="s">
        <v>30</v>
      </c>
      <c r="E21" s="16">
        <v>1</v>
      </c>
      <c r="F21" s="17">
        <v>1</v>
      </c>
      <c r="G21" s="17">
        <v>1</v>
      </c>
      <c r="H21" s="18">
        <v>0</v>
      </c>
      <c r="I21" s="18">
        <v>0</v>
      </c>
      <c r="J21" s="18">
        <v>0</v>
      </c>
      <c r="K21" s="20"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3" ht="52.5" customHeight="1" x14ac:dyDescent="0.3">
      <c r="A22" s="85"/>
      <c r="B22" s="85"/>
      <c r="C22" s="21" t="s">
        <v>54</v>
      </c>
      <c r="D22" s="22" t="s">
        <v>30</v>
      </c>
      <c r="E22" s="16">
        <v>1</v>
      </c>
      <c r="F22" s="17">
        <v>1</v>
      </c>
      <c r="G22" s="17">
        <v>1</v>
      </c>
      <c r="H22" s="18">
        <v>0</v>
      </c>
      <c r="I22" s="18">
        <v>0</v>
      </c>
      <c r="J22" s="18">
        <v>0</v>
      </c>
      <c r="K22" s="20">
        <v>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3" ht="72" customHeight="1" x14ac:dyDescent="0.3">
      <c r="A23" s="85"/>
      <c r="B23" s="85"/>
      <c r="C23" s="53" t="s">
        <v>55</v>
      </c>
      <c r="D23" s="32" t="s">
        <v>51</v>
      </c>
      <c r="E23" s="33">
        <v>2</v>
      </c>
      <c r="F23" s="17">
        <v>2</v>
      </c>
      <c r="G23" s="18">
        <v>2</v>
      </c>
      <c r="H23" s="18">
        <v>2</v>
      </c>
      <c r="I23" s="18">
        <v>0</v>
      </c>
      <c r="J23" s="19">
        <v>0</v>
      </c>
      <c r="K23" s="34">
        <v>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3" ht="52.5" customHeight="1" x14ac:dyDescent="0.3">
      <c r="A24" s="85"/>
      <c r="B24" s="85"/>
      <c r="C24" s="35" t="s">
        <v>56</v>
      </c>
      <c r="D24" s="36" t="s">
        <v>51</v>
      </c>
      <c r="E24" s="37">
        <v>4</v>
      </c>
      <c r="F24" s="38">
        <v>4</v>
      </c>
      <c r="G24" s="38">
        <v>4</v>
      </c>
      <c r="H24" s="38">
        <v>4</v>
      </c>
      <c r="I24" s="38">
        <v>4</v>
      </c>
      <c r="J24" s="39">
        <v>0</v>
      </c>
      <c r="K24" s="40">
        <v>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3" ht="52.5" customHeight="1" x14ac:dyDescent="0.3">
      <c r="A25" s="85"/>
      <c r="B25" s="85"/>
      <c r="C25" s="41" t="s">
        <v>57</v>
      </c>
      <c r="D25" s="42" t="s">
        <v>30</v>
      </c>
      <c r="E25" s="23">
        <v>2</v>
      </c>
      <c r="F25" s="24">
        <v>2</v>
      </c>
      <c r="G25" s="25">
        <v>2</v>
      </c>
      <c r="H25" s="25">
        <v>2</v>
      </c>
      <c r="I25" s="25">
        <v>2</v>
      </c>
      <c r="J25" s="26">
        <v>0</v>
      </c>
      <c r="K25" s="27">
        <v>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3" ht="52.5" customHeight="1" x14ac:dyDescent="0.3">
      <c r="A26" s="85"/>
      <c r="B26" s="98" t="s">
        <v>3</v>
      </c>
      <c r="C26" s="58" t="s">
        <v>58</v>
      </c>
      <c r="D26" s="43" t="s">
        <v>18</v>
      </c>
      <c r="E26" s="44">
        <v>1</v>
      </c>
      <c r="F26" s="45">
        <v>1</v>
      </c>
      <c r="G26" s="46">
        <v>0</v>
      </c>
      <c r="H26" s="46">
        <v>0</v>
      </c>
      <c r="I26" s="46">
        <v>0</v>
      </c>
      <c r="J26" s="47">
        <v>0</v>
      </c>
      <c r="K26" s="48">
        <v>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3" ht="52.5" customHeight="1" x14ac:dyDescent="0.3">
      <c r="A27" s="85"/>
      <c r="B27" s="85"/>
      <c r="C27" s="21" t="s">
        <v>59</v>
      </c>
      <c r="D27" s="22" t="s">
        <v>30</v>
      </c>
      <c r="E27" s="16">
        <v>3</v>
      </c>
      <c r="F27" s="17">
        <v>3</v>
      </c>
      <c r="G27" s="18">
        <v>3</v>
      </c>
      <c r="H27" s="18">
        <v>0</v>
      </c>
      <c r="I27" s="18">
        <v>0</v>
      </c>
      <c r="J27" s="18">
        <v>0</v>
      </c>
      <c r="K27" s="20">
        <v>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3" ht="52.5" customHeight="1" x14ac:dyDescent="0.3">
      <c r="A28" s="85"/>
      <c r="B28" s="85"/>
      <c r="C28" s="21" t="s">
        <v>60</v>
      </c>
      <c r="D28" s="22" t="s">
        <v>61</v>
      </c>
      <c r="E28" s="16">
        <v>2</v>
      </c>
      <c r="F28" s="17">
        <v>2</v>
      </c>
      <c r="G28" s="18">
        <v>2</v>
      </c>
      <c r="H28" s="18">
        <v>2</v>
      </c>
      <c r="I28" s="18">
        <v>2</v>
      </c>
      <c r="J28" s="19">
        <v>0</v>
      </c>
      <c r="K28" s="20">
        <v>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3" ht="52.5" customHeight="1" x14ac:dyDescent="0.3">
      <c r="A29" s="85"/>
      <c r="B29" s="85"/>
      <c r="C29" s="21" t="s">
        <v>62</v>
      </c>
      <c r="D29" s="22" t="s">
        <v>61</v>
      </c>
      <c r="E29" s="16">
        <v>2</v>
      </c>
      <c r="F29" s="17">
        <v>2</v>
      </c>
      <c r="G29" s="18">
        <v>2</v>
      </c>
      <c r="H29" s="18">
        <v>2</v>
      </c>
      <c r="I29" s="18">
        <v>2</v>
      </c>
      <c r="J29" s="19">
        <v>0</v>
      </c>
      <c r="K29" s="20">
        <v>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3" ht="52.5" customHeight="1" x14ac:dyDescent="0.3">
      <c r="A30" s="85"/>
      <c r="B30" s="85"/>
      <c r="C30" s="21" t="s">
        <v>63</v>
      </c>
      <c r="D30" s="22" t="s">
        <v>51</v>
      </c>
      <c r="E30" s="16">
        <v>2</v>
      </c>
      <c r="F30" s="17">
        <v>2</v>
      </c>
      <c r="G30" s="18">
        <v>2</v>
      </c>
      <c r="H30" s="18">
        <v>2</v>
      </c>
      <c r="I30" s="18">
        <v>2</v>
      </c>
      <c r="J30" s="19">
        <v>0</v>
      </c>
      <c r="K30" s="20">
        <v>2</v>
      </c>
      <c r="L30" s="1"/>
      <c r="N30" s="29" t="s">
        <v>105</v>
      </c>
      <c r="O30" s="1"/>
      <c r="P30" s="1"/>
      <c r="Q30" s="1"/>
      <c r="R30" s="1"/>
      <c r="S30" s="1"/>
      <c r="T30" s="1"/>
      <c r="U30" s="1"/>
      <c r="V30" s="1"/>
    </row>
    <row r="31" spans="1:23" ht="52.5" customHeight="1" x14ac:dyDescent="0.3">
      <c r="A31" s="85"/>
      <c r="B31" s="85"/>
      <c r="C31" s="21" t="s">
        <v>64</v>
      </c>
      <c r="D31" s="22" t="s">
        <v>30</v>
      </c>
      <c r="E31" s="16">
        <v>4</v>
      </c>
      <c r="F31" s="17">
        <v>4</v>
      </c>
      <c r="G31" s="18">
        <v>4</v>
      </c>
      <c r="H31" s="18">
        <v>4</v>
      </c>
      <c r="I31" s="18">
        <v>4</v>
      </c>
      <c r="J31" s="19">
        <v>0</v>
      </c>
      <c r="K31" s="20">
        <v>5</v>
      </c>
      <c r="L31" s="1"/>
      <c r="N31" s="49" t="s">
        <v>106</v>
      </c>
      <c r="O31" s="72">
        <f>SUM(K6:K69)</f>
        <v>103</v>
      </c>
      <c r="P31" s="74"/>
      <c r="Q31" s="1"/>
      <c r="R31" s="1"/>
      <c r="S31" s="1"/>
      <c r="T31" s="1"/>
      <c r="U31" s="1"/>
      <c r="V31" s="1"/>
    </row>
    <row r="32" spans="1:23" ht="52.5" customHeight="1" x14ac:dyDescent="0.3">
      <c r="A32" s="85"/>
      <c r="B32" s="82"/>
      <c r="C32" s="41" t="s">
        <v>65</v>
      </c>
      <c r="D32" s="42" t="s">
        <v>30</v>
      </c>
      <c r="E32" s="23">
        <v>2</v>
      </c>
      <c r="F32" s="24">
        <v>2</v>
      </c>
      <c r="G32" s="25">
        <v>2</v>
      </c>
      <c r="H32" s="25">
        <v>2</v>
      </c>
      <c r="I32" s="25">
        <v>2</v>
      </c>
      <c r="J32" s="26">
        <v>0</v>
      </c>
      <c r="K32" s="27">
        <v>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6" ht="52.5" customHeight="1" x14ac:dyDescent="0.3">
      <c r="A33" s="85"/>
      <c r="B33" s="98" t="s">
        <v>5</v>
      </c>
      <c r="C33" s="28" t="s">
        <v>66</v>
      </c>
      <c r="D33" s="9" t="s">
        <v>22</v>
      </c>
      <c r="E33" s="10">
        <v>1</v>
      </c>
      <c r="F33" s="11">
        <v>1</v>
      </c>
      <c r="G33" s="18">
        <v>0</v>
      </c>
      <c r="H33" s="18">
        <v>0</v>
      </c>
      <c r="I33" s="18">
        <v>0</v>
      </c>
      <c r="J33" s="18">
        <v>0</v>
      </c>
      <c r="K33" s="14">
        <v>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6" ht="52.5" customHeight="1" x14ac:dyDescent="0.3">
      <c r="A34" s="85"/>
      <c r="B34" s="85"/>
      <c r="C34" s="21" t="s">
        <v>67</v>
      </c>
      <c r="D34" s="22" t="s">
        <v>68</v>
      </c>
      <c r="E34" s="16">
        <v>2</v>
      </c>
      <c r="F34" s="17">
        <v>2</v>
      </c>
      <c r="G34" s="18">
        <v>0</v>
      </c>
      <c r="H34" s="18">
        <v>0</v>
      </c>
      <c r="I34" s="18">
        <v>0</v>
      </c>
      <c r="J34" s="18">
        <v>0</v>
      </c>
      <c r="K34" s="20">
        <v>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6" ht="52.5" customHeight="1" x14ac:dyDescent="0.3">
      <c r="A35" s="85"/>
      <c r="B35" s="85"/>
      <c r="C35" s="21" t="s">
        <v>69</v>
      </c>
      <c r="D35" s="22" t="s">
        <v>22</v>
      </c>
      <c r="E35" s="16">
        <v>2</v>
      </c>
      <c r="F35" s="17">
        <v>2</v>
      </c>
      <c r="G35" s="18">
        <v>0</v>
      </c>
      <c r="H35" s="18">
        <v>0</v>
      </c>
      <c r="I35" s="18">
        <v>0</v>
      </c>
      <c r="J35" s="18">
        <v>0</v>
      </c>
      <c r="K35" s="20"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6" ht="52.5" customHeight="1" x14ac:dyDescent="0.3">
      <c r="A36" s="85"/>
      <c r="B36" s="85"/>
      <c r="C36" s="21" t="s">
        <v>70</v>
      </c>
      <c r="D36" s="22" t="s">
        <v>26</v>
      </c>
      <c r="E36" s="16">
        <v>2</v>
      </c>
      <c r="F36" s="17">
        <v>2</v>
      </c>
      <c r="G36" s="18">
        <v>2</v>
      </c>
      <c r="H36" s="18">
        <v>2</v>
      </c>
      <c r="I36" s="18">
        <v>0</v>
      </c>
      <c r="J36" s="19">
        <v>0</v>
      </c>
      <c r="K36" s="20">
        <v>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6" ht="52.5" customHeight="1" x14ac:dyDescent="0.3">
      <c r="A37" s="85"/>
      <c r="B37" s="85"/>
      <c r="C37" s="21" t="s">
        <v>71</v>
      </c>
      <c r="D37" s="22" t="s">
        <v>26</v>
      </c>
      <c r="E37" s="16">
        <v>2</v>
      </c>
      <c r="F37" s="17">
        <v>2</v>
      </c>
      <c r="G37" s="18">
        <v>2</v>
      </c>
      <c r="H37" s="18">
        <v>2</v>
      </c>
      <c r="I37" s="18">
        <v>0</v>
      </c>
      <c r="J37" s="19">
        <v>0</v>
      </c>
      <c r="K37" s="20">
        <v>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6" ht="52.5" customHeight="1" x14ac:dyDescent="0.3">
      <c r="A38" s="85"/>
      <c r="B38" s="85"/>
      <c r="C38" s="21" t="s">
        <v>72</v>
      </c>
      <c r="D38" s="16" t="s">
        <v>27</v>
      </c>
      <c r="E38" s="16">
        <v>1</v>
      </c>
      <c r="F38" s="17">
        <v>1</v>
      </c>
      <c r="G38" s="18">
        <v>0</v>
      </c>
      <c r="H38" s="18">
        <v>0</v>
      </c>
      <c r="I38" s="18">
        <v>0</v>
      </c>
      <c r="J38" s="19">
        <v>0</v>
      </c>
      <c r="K38" s="20">
        <v>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6" ht="52.5" customHeight="1" x14ac:dyDescent="0.3">
      <c r="A39" s="85"/>
      <c r="B39" s="85"/>
      <c r="C39" s="21" t="s">
        <v>73</v>
      </c>
      <c r="D39" s="16" t="s">
        <v>27</v>
      </c>
      <c r="E39" s="16">
        <v>1</v>
      </c>
      <c r="F39" s="17">
        <v>1</v>
      </c>
      <c r="G39" s="18">
        <v>0</v>
      </c>
      <c r="H39" s="18">
        <v>0</v>
      </c>
      <c r="I39" s="18">
        <v>0</v>
      </c>
      <c r="J39" s="19">
        <v>0</v>
      </c>
      <c r="K39" s="20">
        <v>2</v>
      </c>
      <c r="L39" s="1"/>
      <c r="M39" s="50"/>
      <c r="N39" s="5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6" ht="52.5" customHeight="1" x14ac:dyDescent="0.3">
      <c r="A40" s="85"/>
      <c r="B40" s="85"/>
      <c r="C40" s="21" t="s">
        <v>74</v>
      </c>
      <c r="D40" s="16" t="s">
        <v>27</v>
      </c>
      <c r="E40" s="16">
        <v>2</v>
      </c>
      <c r="F40" s="17">
        <v>2</v>
      </c>
      <c r="G40" s="18">
        <v>2</v>
      </c>
      <c r="H40" s="18">
        <v>0</v>
      </c>
      <c r="I40" s="18">
        <v>0</v>
      </c>
      <c r="J40" s="19">
        <v>0</v>
      </c>
      <c r="K40" s="20">
        <v>2</v>
      </c>
      <c r="L40" s="1"/>
      <c r="M40" s="50"/>
      <c r="N40" s="5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6" ht="52.5" customHeight="1" x14ac:dyDescent="0.3">
      <c r="A41" s="85"/>
      <c r="B41" s="85"/>
      <c r="C41" s="21" t="s">
        <v>75</v>
      </c>
      <c r="D41" s="16" t="s">
        <v>27</v>
      </c>
      <c r="E41" s="16">
        <v>2</v>
      </c>
      <c r="F41" s="17">
        <v>2</v>
      </c>
      <c r="G41" s="18">
        <v>2</v>
      </c>
      <c r="H41" s="18">
        <v>0</v>
      </c>
      <c r="I41" s="18">
        <v>0</v>
      </c>
      <c r="J41" s="19">
        <v>0</v>
      </c>
      <c r="K41" s="20">
        <v>1</v>
      </c>
      <c r="L41" s="1"/>
      <c r="M41" s="50"/>
      <c r="N41" s="5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6" ht="52.5" customHeight="1" x14ac:dyDescent="0.3">
      <c r="A42" s="85"/>
      <c r="B42" s="85"/>
      <c r="C42" s="21" t="s">
        <v>76</v>
      </c>
      <c r="D42" s="22" t="s">
        <v>26</v>
      </c>
      <c r="E42" s="16">
        <v>2</v>
      </c>
      <c r="F42" s="17">
        <v>2</v>
      </c>
      <c r="G42" s="18">
        <v>2</v>
      </c>
      <c r="H42" s="18">
        <v>2</v>
      </c>
      <c r="I42" s="18">
        <v>0</v>
      </c>
      <c r="J42" s="19">
        <v>0</v>
      </c>
      <c r="K42" s="20">
        <v>2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2.5" customHeight="1" x14ac:dyDescent="0.3">
      <c r="A43" s="85"/>
      <c r="B43" s="85"/>
      <c r="C43" s="21" t="s">
        <v>77</v>
      </c>
      <c r="D43" s="22" t="s">
        <v>26</v>
      </c>
      <c r="E43" s="16">
        <v>2</v>
      </c>
      <c r="F43" s="17">
        <v>2</v>
      </c>
      <c r="G43" s="18">
        <v>2</v>
      </c>
      <c r="H43" s="18">
        <v>2</v>
      </c>
      <c r="I43" s="18">
        <v>0</v>
      </c>
      <c r="J43" s="19">
        <v>0</v>
      </c>
      <c r="K43" s="20">
        <v>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2.5" customHeight="1" x14ac:dyDescent="0.3">
      <c r="A44" s="85"/>
      <c r="B44" s="85"/>
      <c r="C44" s="21" t="s">
        <v>78</v>
      </c>
      <c r="D44" s="16" t="s">
        <v>26</v>
      </c>
      <c r="E44" s="52">
        <v>2</v>
      </c>
      <c r="F44" s="17">
        <v>2</v>
      </c>
      <c r="G44" s="18">
        <v>2</v>
      </c>
      <c r="H44" s="18">
        <v>2</v>
      </c>
      <c r="I44" s="18">
        <v>0</v>
      </c>
      <c r="J44" s="19">
        <v>0</v>
      </c>
      <c r="K44" s="20">
        <v>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2.5" customHeight="1" x14ac:dyDescent="0.3">
      <c r="A45" s="85"/>
      <c r="B45" s="85"/>
      <c r="C45" s="21" t="s">
        <v>79</v>
      </c>
      <c r="D45" s="16" t="s">
        <v>27</v>
      </c>
      <c r="E45" s="16">
        <v>2</v>
      </c>
      <c r="F45" s="17">
        <v>2</v>
      </c>
      <c r="G45" s="18">
        <v>2</v>
      </c>
      <c r="H45" s="18">
        <v>2</v>
      </c>
      <c r="I45" s="18">
        <v>0</v>
      </c>
      <c r="J45" s="19">
        <v>0</v>
      </c>
      <c r="K45" s="59">
        <v>2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2.5" customHeight="1" x14ac:dyDescent="0.3">
      <c r="A46" s="85"/>
      <c r="B46" s="85"/>
      <c r="C46" s="21" t="s">
        <v>80</v>
      </c>
      <c r="D46" s="16" t="s">
        <v>26</v>
      </c>
      <c r="E46" s="16">
        <v>2</v>
      </c>
      <c r="F46" s="17">
        <v>2</v>
      </c>
      <c r="G46" s="18">
        <v>2</v>
      </c>
      <c r="H46" s="18">
        <v>2</v>
      </c>
      <c r="I46" s="18">
        <v>0</v>
      </c>
      <c r="J46" s="19">
        <v>0</v>
      </c>
      <c r="K46" s="59">
        <v>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2.5" customHeight="1" x14ac:dyDescent="0.3">
      <c r="A47" s="85"/>
      <c r="B47" s="85"/>
      <c r="C47" s="21" t="s">
        <v>81</v>
      </c>
      <c r="D47" s="16" t="s">
        <v>27</v>
      </c>
      <c r="E47" s="16">
        <v>2</v>
      </c>
      <c r="F47" s="17">
        <v>2</v>
      </c>
      <c r="G47" s="18">
        <v>2</v>
      </c>
      <c r="H47" s="18">
        <v>0</v>
      </c>
      <c r="I47" s="18">
        <v>0</v>
      </c>
      <c r="J47" s="19">
        <v>0</v>
      </c>
      <c r="K47" s="59">
        <v>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2.5" customHeight="1" x14ac:dyDescent="0.3">
      <c r="A48" s="85"/>
      <c r="B48" s="85"/>
      <c r="C48" s="21" t="s">
        <v>82</v>
      </c>
      <c r="D48" s="16" t="s">
        <v>51</v>
      </c>
      <c r="E48" s="16">
        <v>2</v>
      </c>
      <c r="F48" s="17">
        <v>2</v>
      </c>
      <c r="G48" s="18">
        <v>2</v>
      </c>
      <c r="H48" s="18">
        <v>2</v>
      </c>
      <c r="I48" s="18">
        <v>2</v>
      </c>
      <c r="J48" s="19">
        <v>0</v>
      </c>
      <c r="K48" s="59">
        <v>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2.5" customHeight="1" x14ac:dyDescent="0.3">
      <c r="A49" s="85"/>
      <c r="B49" s="85"/>
      <c r="C49" s="21" t="s">
        <v>83</v>
      </c>
      <c r="D49" s="22" t="s">
        <v>34</v>
      </c>
      <c r="E49" s="16">
        <v>1</v>
      </c>
      <c r="F49" s="17">
        <v>1</v>
      </c>
      <c r="G49" s="18">
        <v>1</v>
      </c>
      <c r="H49" s="18">
        <v>1</v>
      </c>
      <c r="I49" s="18">
        <v>1</v>
      </c>
      <c r="J49" s="19">
        <v>0</v>
      </c>
      <c r="K49" s="59">
        <v>1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2.5" customHeight="1" x14ac:dyDescent="0.3">
      <c r="A50" s="85"/>
      <c r="B50" s="85"/>
      <c r="C50" s="21" t="s">
        <v>84</v>
      </c>
      <c r="D50" s="22" t="s">
        <v>34</v>
      </c>
      <c r="E50" s="16">
        <v>2</v>
      </c>
      <c r="F50" s="17">
        <v>2</v>
      </c>
      <c r="G50" s="17">
        <v>2</v>
      </c>
      <c r="H50" s="17">
        <v>2</v>
      </c>
      <c r="I50" s="17">
        <v>2</v>
      </c>
      <c r="J50" s="19">
        <v>0</v>
      </c>
      <c r="K50" s="59">
        <v>4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2.5" customHeight="1" x14ac:dyDescent="0.3">
      <c r="A51" s="85"/>
      <c r="B51" s="82"/>
      <c r="C51" s="41" t="s">
        <v>85</v>
      </c>
      <c r="D51" s="23" t="s">
        <v>27</v>
      </c>
      <c r="E51" s="23">
        <v>2</v>
      </c>
      <c r="F51" s="24">
        <v>2</v>
      </c>
      <c r="G51" s="24">
        <v>2</v>
      </c>
      <c r="H51" s="24">
        <v>2</v>
      </c>
      <c r="I51" s="24">
        <v>2</v>
      </c>
      <c r="J51" s="26">
        <v>0</v>
      </c>
      <c r="K51" s="60">
        <v>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52.5" customHeight="1" x14ac:dyDescent="0.3">
      <c r="A52" s="85"/>
      <c r="B52" s="98" t="s">
        <v>2</v>
      </c>
      <c r="C52" s="28" t="s">
        <v>86</v>
      </c>
      <c r="D52" s="99" t="s">
        <v>107</v>
      </c>
      <c r="E52" s="86">
        <v>2</v>
      </c>
      <c r="F52" s="89">
        <v>2</v>
      </c>
      <c r="G52" s="92">
        <v>2</v>
      </c>
      <c r="H52" s="92">
        <v>2</v>
      </c>
      <c r="I52" s="92">
        <v>2</v>
      </c>
      <c r="J52" s="101">
        <v>0</v>
      </c>
      <c r="K52" s="104">
        <v>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2.5" customHeight="1" x14ac:dyDescent="0.3">
      <c r="A53" s="85"/>
      <c r="B53" s="85"/>
      <c r="C53" s="21" t="s">
        <v>87</v>
      </c>
      <c r="D53" s="87"/>
      <c r="E53" s="87"/>
      <c r="F53" s="90"/>
      <c r="G53" s="93"/>
      <c r="H53" s="93"/>
      <c r="I53" s="93"/>
      <c r="J53" s="102"/>
      <c r="K53" s="8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52.5" customHeight="1" x14ac:dyDescent="0.3">
      <c r="A54" s="85"/>
      <c r="B54" s="85"/>
      <c r="C54" s="21" t="s">
        <v>88</v>
      </c>
      <c r="D54" s="87"/>
      <c r="E54" s="87"/>
      <c r="F54" s="90"/>
      <c r="G54" s="93"/>
      <c r="H54" s="93"/>
      <c r="I54" s="93"/>
      <c r="J54" s="102"/>
      <c r="K54" s="8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2.5" customHeight="1" x14ac:dyDescent="0.3">
      <c r="A55" s="85"/>
      <c r="B55" s="85"/>
      <c r="C55" s="21" t="s">
        <v>89</v>
      </c>
      <c r="D55" s="87"/>
      <c r="E55" s="87"/>
      <c r="F55" s="90"/>
      <c r="G55" s="93"/>
      <c r="H55" s="93"/>
      <c r="I55" s="93"/>
      <c r="J55" s="102"/>
      <c r="K55" s="8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52.5" customHeight="1" x14ac:dyDescent="0.3">
      <c r="A56" s="85"/>
      <c r="B56" s="85"/>
      <c r="C56" s="21" t="s">
        <v>90</v>
      </c>
      <c r="D56" s="87"/>
      <c r="E56" s="87"/>
      <c r="F56" s="90"/>
      <c r="G56" s="93"/>
      <c r="H56" s="93"/>
      <c r="I56" s="93"/>
      <c r="J56" s="102"/>
      <c r="K56" s="8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52.5" customHeight="1" x14ac:dyDescent="0.3">
      <c r="A57" s="85"/>
      <c r="B57" s="85"/>
      <c r="C57" s="21" t="s">
        <v>91</v>
      </c>
      <c r="D57" s="88"/>
      <c r="E57" s="88"/>
      <c r="F57" s="91"/>
      <c r="G57" s="94"/>
      <c r="H57" s="94"/>
      <c r="I57" s="94"/>
      <c r="J57" s="103"/>
      <c r="K57" s="10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2.5" customHeight="1" x14ac:dyDescent="0.3">
      <c r="A58" s="85"/>
      <c r="B58" s="85"/>
      <c r="C58" s="21" t="s">
        <v>92</v>
      </c>
      <c r="D58" s="16" t="s">
        <v>30</v>
      </c>
      <c r="E58" s="61">
        <v>1</v>
      </c>
      <c r="F58" s="17">
        <v>1</v>
      </c>
      <c r="G58" s="17">
        <v>1</v>
      </c>
      <c r="H58" s="17">
        <v>1</v>
      </c>
      <c r="I58" s="17">
        <v>1</v>
      </c>
      <c r="J58" s="18">
        <v>0</v>
      </c>
      <c r="K58" s="59">
        <v>1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52.5" customHeight="1" x14ac:dyDescent="0.3">
      <c r="A59" s="85"/>
      <c r="B59" s="85"/>
      <c r="C59" s="21" t="s">
        <v>93</v>
      </c>
      <c r="D59" s="16" t="s">
        <v>30</v>
      </c>
      <c r="E59" s="61">
        <v>1</v>
      </c>
      <c r="F59" s="17">
        <v>1</v>
      </c>
      <c r="G59" s="17">
        <v>1</v>
      </c>
      <c r="H59" s="17">
        <v>1</v>
      </c>
      <c r="I59" s="17">
        <v>1</v>
      </c>
      <c r="J59" s="18">
        <v>0</v>
      </c>
      <c r="K59" s="59">
        <v>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2.5" customHeight="1" x14ac:dyDescent="0.3">
      <c r="A60" s="85"/>
      <c r="B60" s="85"/>
      <c r="C60" s="21" t="s">
        <v>94</v>
      </c>
      <c r="D60" s="16" t="s">
        <v>30</v>
      </c>
      <c r="E60" s="61">
        <v>1</v>
      </c>
      <c r="F60" s="17">
        <v>1</v>
      </c>
      <c r="G60" s="17">
        <v>1</v>
      </c>
      <c r="H60" s="17">
        <v>1</v>
      </c>
      <c r="I60" s="17">
        <v>1</v>
      </c>
      <c r="J60" s="18">
        <v>0</v>
      </c>
      <c r="K60" s="59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2.5" customHeight="1" x14ac:dyDescent="0.3">
      <c r="A61" s="85"/>
      <c r="B61" s="82"/>
      <c r="C61" s="53" t="s">
        <v>95</v>
      </c>
      <c r="D61" s="22" t="s">
        <v>68</v>
      </c>
      <c r="E61" s="33">
        <v>1</v>
      </c>
      <c r="F61" s="62">
        <v>1</v>
      </c>
      <c r="G61" s="63">
        <v>1</v>
      </c>
      <c r="H61" s="63">
        <v>1</v>
      </c>
      <c r="I61" s="63">
        <v>1</v>
      </c>
      <c r="J61" s="64">
        <v>0</v>
      </c>
      <c r="K61" s="65">
        <v>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52.5" customHeight="1" x14ac:dyDescent="0.3">
      <c r="A62" s="85"/>
      <c r="B62" s="98" t="s">
        <v>96</v>
      </c>
      <c r="C62" s="66" t="s">
        <v>97</v>
      </c>
      <c r="D62" s="10" t="s">
        <v>18</v>
      </c>
      <c r="E62" s="10">
        <v>4</v>
      </c>
      <c r="F62" s="11">
        <v>4</v>
      </c>
      <c r="G62" s="12">
        <v>4</v>
      </c>
      <c r="H62" s="12">
        <v>4</v>
      </c>
      <c r="I62" s="12">
        <v>4</v>
      </c>
      <c r="J62" s="13">
        <v>0</v>
      </c>
      <c r="K62" s="67">
        <v>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52.5" customHeight="1" x14ac:dyDescent="0.3">
      <c r="A63" s="85"/>
      <c r="B63" s="85"/>
      <c r="C63" s="68" t="s">
        <v>98</v>
      </c>
      <c r="D63" s="16" t="s">
        <v>18</v>
      </c>
      <c r="E63" s="16">
        <v>4</v>
      </c>
      <c r="F63" s="17">
        <v>4</v>
      </c>
      <c r="G63" s="18">
        <v>4</v>
      </c>
      <c r="H63" s="18">
        <v>4</v>
      </c>
      <c r="I63" s="18">
        <v>4</v>
      </c>
      <c r="J63" s="19">
        <v>0</v>
      </c>
      <c r="K63" s="59">
        <v>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52.5" customHeight="1" x14ac:dyDescent="0.3">
      <c r="A64" s="85"/>
      <c r="B64" s="85"/>
      <c r="C64" s="68" t="s">
        <v>99</v>
      </c>
      <c r="D64" s="16" t="s">
        <v>26</v>
      </c>
      <c r="E64" s="16">
        <v>1</v>
      </c>
      <c r="F64" s="17">
        <v>1</v>
      </c>
      <c r="G64" s="18">
        <v>1</v>
      </c>
      <c r="H64" s="18">
        <v>1</v>
      </c>
      <c r="I64" s="18">
        <v>1</v>
      </c>
      <c r="J64" s="19">
        <v>0</v>
      </c>
      <c r="K64" s="59">
        <v>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52.5" customHeight="1" x14ac:dyDescent="0.3">
      <c r="A65" s="85"/>
      <c r="B65" s="85"/>
      <c r="C65" s="68" t="s">
        <v>100</v>
      </c>
      <c r="D65" s="16" t="s">
        <v>18</v>
      </c>
      <c r="E65" s="16">
        <v>1</v>
      </c>
      <c r="F65" s="17">
        <v>1</v>
      </c>
      <c r="G65" s="18">
        <v>1</v>
      </c>
      <c r="H65" s="18">
        <v>1</v>
      </c>
      <c r="I65" s="18">
        <v>1</v>
      </c>
      <c r="J65" s="19">
        <v>0</v>
      </c>
      <c r="K65" s="59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52.5" customHeight="1" x14ac:dyDescent="0.3">
      <c r="A66" s="85"/>
      <c r="B66" s="85"/>
      <c r="C66" s="68" t="s">
        <v>101</v>
      </c>
      <c r="D66" s="16" t="s">
        <v>26</v>
      </c>
      <c r="E66" s="16">
        <v>1</v>
      </c>
      <c r="F66" s="17">
        <v>1</v>
      </c>
      <c r="G66" s="18">
        <v>1</v>
      </c>
      <c r="H66" s="18">
        <v>1</v>
      </c>
      <c r="I66" s="18">
        <v>1</v>
      </c>
      <c r="J66" s="19">
        <v>0</v>
      </c>
      <c r="K66" s="59">
        <v>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52.5" customHeight="1" x14ac:dyDescent="0.3">
      <c r="A67" s="85"/>
      <c r="B67" s="85"/>
      <c r="C67" s="68" t="s">
        <v>102</v>
      </c>
      <c r="D67" s="16" t="s">
        <v>18</v>
      </c>
      <c r="E67" s="16">
        <v>1</v>
      </c>
      <c r="F67" s="17">
        <v>1</v>
      </c>
      <c r="G67" s="18">
        <v>1</v>
      </c>
      <c r="H67" s="18">
        <v>1</v>
      </c>
      <c r="I67" s="18">
        <v>1</v>
      </c>
      <c r="J67" s="19">
        <v>0</v>
      </c>
      <c r="K67" s="59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52.5" customHeight="1" x14ac:dyDescent="0.3">
      <c r="A68" s="85"/>
      <c r="B68" s="85"/>
      <c r="C68" s="68" t="s">
        <v>103</v>
      </c>
      <c r="D68" s="16" t="s">
        <v>27</v>
      </c>
      <c r="E68" s="16">
        <v>1</v>
      </c>
      <c r="F68" s="17">
        <v>1</v>
      </c>
      <c r="G68" s="18">
        <v>1</v>
      </c>
      <c r="H68" s="18">
        <v>1</v>
      </c>
      <c r="I68" s="18">
        <v>1</v>
      </c>
      <c r="J68" s="19">
        <v>0</v>
      </c>
      <c r="K68" s="59">
        <v>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52.5" customHeight="1" x14ac:dyDescent="0.3">
      <c r="A69" s="85"/>
      <c r="B69" s="85"/>
      <c r="C69" s="69" t="s">
        <v>104</v>
      </c>
      <c r="D69" s="23" t="s">
        <v>18</v>
      </c>
      <c r="E69" s="23">
        <v>1</v>
      </c>
      <c r="F69" s="24">
        <v>1</v>
      </c>
      <c r="G69" s="25">
        <v>1</v>
      </c>
      <c r="H69" s="25">
        <v>1</v>
      </c>
      <c r="I69" s="25">
        <v>1</v>
      </c>
      <c r="J69" s="19">
        <v>0</v>
      </c>
      <c r="K69" s="60">
        <v>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52.5" customHeight="1" x14ac:dyDescent="0.3">
      <c r="A70" s="82"/>
      <c r="B70" s="82"/>
      <c r="C70" s="54"/>
      <c r="D70" s="54"/>
      <c r="E70" s="15">
        <f>SUM(E1:E69)</f>
        <v>100</v>
      </c>
      <c r="F70" s="55"/>
      <c r="G70" s="55"/>
      <c r="H70" s="55"/>
      <c r="I70" s="55"/>
      <c r="J70" s="55"/>
      <c r="K70" s="56">
        <f>SUM(K1:K69)</f>
        <v>103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52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52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52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52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52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52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41">
    <mergeCell ref="O6:R6"/>
    <mergeCell ref="O11:R11"/>
    <mergeCell ref="S11:T11"/>
    <mergeCell ref="S6:T6"/>
    <mergeCell ref="O12:R12"/>
    <mergeCell ref="S12:T12"/>
    <mergeCell ref="O31:P31"/>
    <mergeCell ref="O7:R7"/>
    <mergeCell ref="H52:H57"/>
    <mergeCell ref="I52:I57"/>
    <mergeCell ref="O8:R8"/>
    <mergeCell ref="S8:T8"/>
    <mergeCell ref="O9:R9"/>
    <mergeCell ref="S9:T9"/>
    <mergeCell ref="J52:J57"/>
    <mergeCell ref="K52:K57"/>
    <mergeCell ref="S7:T7"/>
    <mergeCell ref="O10:R10"/>
    <mergeCell ref="S10:T10"/>
    <mergeCell ref="E52:E57"/>
    <mergeCell ref="F52:F57"/>
    <mergeCell ref="G52:G57"/>
    <mergeCell ref="A4:A5"/>
    <mergeCell ref="B6:B10"/>
    <mergeCell ref="B4:B5"/>
    <mergeCell ref="B26:B32"/>
    <mergeCell ref="B33:B51"/>
    <mergeCell ref="B52:B61"/>
    <mergeCell ref="A6:A70"/>
    <mergeCell ref="B62:B70"/>
    <mergeCell ref="B11:B25"/>
    <mergeCell ref="C4:C5"/>
    <mergeCell ref="D52:D57"/>
    <mergeCell ref="A1:L2"/>
    <mergeCell ref="N4:T4"/>
    <mergeCell ref="F4:J4"/>
    <mergeCell ref="O5:R5"/>
    <mergeCell ref="S5:T5"/>
    <mergeCell ref="D4:D5"/>
    <mergeCell ref="E4:E5"/>
    <mergeCell ref="K4:K5"/>
  </mergeCells>
  <printOptions horizontalCentered="1" gridLines="1"/>
  <pageMargins left="0.7" right="0.7" top="0.75" bottom="0.75" header="0" footer="0"/>
  <pageSetup scale="18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 Week3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Wisit Sriadisak</cp:lastModifiedBy>
  <cp:lastPrinted>2026-03-17T16:05:11Z</cp:lastPrinted>
  <dcterms:created xsi:type="dcterms:W3CDTF">2022-02-15T09:46:33Z</dcterms:created>
  <dcterms:modified xsi:type="dcterms:W3CDTF">2026-03-17T16:05:59Z</dcterms:modified>
</cp:coreProperties>
</file>